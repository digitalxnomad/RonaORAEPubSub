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updateLinks="always"/>
  <mc:AlternateContent xmlns:mc="http://schemas.openxmlformats.org/markup-compatibility/2006">
    <mc:Choice Requires="x15">
      <x15ac:absPath xmlns:x15ac="http://schemas.microsoft.com/office/spreadsheetml/2010/11/ac" url="C:\Users\6000448\Downloads\"/>
    </mc:Choice>
  </mc:AlternateContent>
  <xr:revisionPtr revIDLastSave="0" documentId="13_ncr:1_{861295E9-E843-460C-BD58-74DE06F35177}" xr6:coauthVersionLast="47" xr6:coauthVersionMax="47" xr10:uidLastSave="{00000000-0000-0000-0000-000000000000}"/>
  <bookViews>
    <workbookView xWindow="-110" yWindow="-110" windowWidth="22620" windowHeight="13500" activeTab="1" xr2:uid="{00000000-000D-0000-FFFF-FFFF00000000}"/>
  </bookViews>
  <sheets>
    <sheet name="Mapping" sheetId="12" r:id="rId1"/>
    <sheet name="J26_0539-S" sheetId="1" r:id="rId2"/>
    <sheet name="J26_0539-T" sheetId="2" r:id="rId3"/>
    <sheet name="T-00531" sheetId="8" state="hidden" r:id="rId4"/>
    <sheet name="Sheet1" sheetId="9" state="hidden" r:id="rId5"/>
    <sheet name="Sheet2" sheetId="10" r:id="rId6"/>
    <sheet name="Sheet3" sheetId="11" r:id="rId7"/>
  </sheets>
  <definedNames>
    <definedName name="_xlnm._FilterDatabase" localSheetId="1" hidden="1">'J26_0539-S'!$A$1:$L$1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5" i="11" l="1"/>
  <c r="Q36" i="11"/>
  <c r="Q37" i="11"/>
  <c r="Q38" i="11"/>
  <c r="Q39" i="11"/>
  <c r="D39" i="1" s="1"/>
  <c r="Q40" i="11"/>
  <c r="Q41" i="11"/>
  <c r="Q42" i="11"/>
  <c r="Q43" i="11"/>
  <c r="Q44" i="11"/>
  <c r="D44" i="1" s="1"/>
  <c r="Q45" i="11"/>
  <c r="Q46" i="11"/>
  <c r="Q47" i="11"/>
  <c r="Q48" i="11"/>
  <c r="Q49" i="11"/>
  <c r="Q50" i="11"/>
  <c r="D50" i="1" s="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P36" i="11"/>
  <c r="P37" i="11"/>
  <c r="P38" i="11"/>
  <c r="P39" i="11"/>
  <c r="P40" i="11"/>
  <c r="D45" i="1" s="1"/>
  <c r="P41" i="11"/>
  <c r="D55" i="1" s="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7" i="1"/>
  <c r="D38" i="1"/>
  <c r="D56" i="1"/>
  <c r="D62" i="1"/>
  <c r="D68" i="1"/>
  <c r="D74" i="1"/>
  <c r="D2" i="1"/>
  <c r="J3" i="2"/>
  <c r="J37" i="2"/>
  <c r="U35" i="11"/>
  <c r="W35" i="11" s="1"/>
  <c r="T35" i="11"/>
  <c r="V35" i="11" s="1"/>
  <c r="U34" i="11"/>
  <c r="W34" i="11" s="1"/>
  <c r="T34" i="11"/>
  <c r="V34" i="11" s="1"/>
  <c r="U33" i="11"/>
  <c r="W33" i="11" s="1"/>
  <c r="T33" i="11"/>
  <c r="V33" i="11" s="1"/>
  <c r="U32" i="11"/>
  <c r="W32" i="11" s="1"/>
  <c r="T32" i="11"/>
  <c r="V32" i="11" s="1"/>
  <c r="U31" i="11"/>
  <c r="W31" i="11" s="1"/>
  <c r="T31" i="11"/>
  <c r="V31" i="11" s="1"/>
  <c r="U30" i="11"/>
  <c r="W30" i="11" s="1"/>
  <c r="T30" i="11"/>
  <c r="V30" i="11" s="1"/>
  <c r="U29" i="11"/>
  <c r="W29" i="11" s="1"/>
  <c r="T29" i="11"/>
  <c r="V29" i="11" s="1"/>
  <c r="U28" i="11"/>
  <c r="W28" i="11" s="1"/>
  <c r="T28" i="11"/>
  <c r="V28" i="11" s="1"/>
  <c r="U27" i="11"/>
  <c r="W27" i="11" s="1"/>
  <c r="T27" i="11"/>
  <c r="V27" i="11" s="1"/>
  <c r="U26" i="11"/>
  <c r="W26" i="11" s="1"/>
  <c r="T26" i="11"/>
  <c r="V26" i="11" s="1"/>
  <c r="U25" i="11"/>
  <c r="W25" i="11" s="1"/>
  <c r="T25" i="11"/>
  <c r="V25" i="11" s="1"/>
  <c r="U24" i="11"/>
  <c r="W24" i="11" s="1"/>
  <c r="T24" i="11"/>
  <c r="V24" i="11" s="1"/>
  <c r="U23" i="11"/>
  <c r="W23" i="11" s="1"/>
  <c r="T23" i="11"/>
  <c r="V23" i="11" s="1"/>
  <c r="U22" i="11"/>
  <c r="W22" i="11" s="1"/>
  <c r="T22" i="11"/>
  <c r="V22" i="11" s="1"/>
  <c r="U21" i="11"/>
  <c r="W21" i="11" s="1"/>
  <c r="T21" i="11"/>
  <c r="V21" i="11" s="1"/>
  <c r="U20" i="11"/>
  <c r="W20" i="11" s="1"/>
  <c r="T20" i="11"/>
  <c r="V20" i="11" s="1"/>
  <c r="U19" i="11"/>
  <c r="W19" i="11" s="1"/>
  <c r="T19" i="11"/>
  <c r="V19" i="11" s="1"/>
  <c r="U18" i="11"/>
  <c r="W18" i="11" s="1"/>
  <c r="T18" i="11"/>
  <c r="V18" i="11" s="1"/>
  <c r="U17" i="11"/>
  <c r="W17" i="11" s="1"/>
  <c r="T17" i="11"/>
  <c r="V17" i="11" s="1"/>
  <c r="U16" i="11"/>
  <c r="W16" i="11" s="1"/>
  <c r="T16" i="11"/>
  <c r="V16" i="11" s="1"/>
  <c r="U15" i="11"/>
  <c r="W15" i="11" s="1"/>
  <c r="T15" i="11"/>
  <c r="V15" i="11" s="1"/>
  <c r="U14" i="11"/>
  <c r="W14" i="11" s="1"/>
  <c r="T14" i="11"/>
  <c r="V14" i="11" s="1"/>
  <c r="U13" i="11"/>
  <c r="W13" i="11" s="1"/>
  <c r="T13" i="11"/>
  <c r="V13" i="11" s="1"/>
  <c r="U12" i="11"/>
  <c r="W12" i="11" s="1"/>
  <c r="T12" i="11"/>
  <c r="V12" i="11" s="1"/>
  <c r="U11" i="11"/>
  <c r="W11" i="11" s="1"/>
  <c r="T11" i="11"/>
  <c r="V11" i="11" s="1"/>
  <c r="U10" i="11"/>
  <c r="W10" i="11" s="1"/>
  <c r="T10" i="11"/>
  <c r="V10" i="11" s="1"/>
  <c r="U9" i="11"/>
  <c r="W9" i="11" s="1"/>
  <c r="T9" i="11"/>
  <c r="V9" i="11" s="1"/>
  <c r="U8" i="11"/>
  <c r="W8" i="11" s="1"/>
  <c r="T8" i="11"/>
  <c r="V8" i="11" s="1"/>
  <c r="U7" i="11"/>
  <c r="W7" i="11" s="1"/>
  <c r="T7" i="11"/>
  <c r="V7" i="11" s="1"/>
  <c r="U6" i="11"/>
  <c r="W6" i="11" s="1"/>
  <c r="T6" i="11"/>
  <c r="V6" i="11" s="1"/>
  <c r="U5" i="11"/>
  <c r="W5" i="11" s="1"/>
  <c r="T5" i="11"/>
  <c r="V5" i="11" s="1"/>
  <c r="U4" i="11"/>
  <c r="W4" i="11" s="1"/>
  <c r="T4" i="11"/>
  <c r="V4" i="11" s="1"/>
  <c r="U3" i="11"/>
  <c r="W3" i="11" s="1"/>
  <c r="T3" i="11"/>
  <c r="V3" i="11" s="1"/>
  <c r="U2" i="11"/>
  <c r="W2" i="11" s="1"/>
  <c r="T2" i="11"/>
  <c r="V2" i="11" s="1"/>
  <c r="E4" i="2" s="1"/>
  <c r="N3" i="11"/>
  <c r="P3" i="11" s="1"/>
  <c r="O3" i="11"/>
  <c r="Q3" i="11" s="1"/>
  <c r="N4" i="11"/>
  <c r="P4" i="11" s="1"/>
  <c r="O4" i="11"/>
  <c r="Q4" i="11" s="1"/>
  <c r="N5" i="11"/>
  <c r="P5" i="11" s="1"/>
  <c r="O5" i="11"/>
  <c r="Q5" i="11" s="1"/>
  <c r="N6" i="11"/>
  <c r="P6" i="11" s="1"/>
  <c r="O6" i="11"/>
  <c r="Q6" i="11" s="1"/>
  <c r="N7" i="11"/>
  <c r="P7" i="11" s="1"/>
  <c r="O7" i="11"/>
  <c r="Q7" i="11" s="1"/>
  <c r="N8" i="11"/>
  <c r="P8" i="11" s="1"/>
  <c r="O8" i="11"/>
  <c r="Q8" i="11" s="1"/>
  <c r="N9" i="11"/>
  <c r="P9" i="11" s="1"/>
  <c r="O9" i="11"/>
  <c r="Q9" i="11"/>
  <c r="N10" i="11"/>
  <c r="P10" i="11" s="1"/>
  <c r="O10" i="11"/>
  <c r="Q10" i="11" s="1"/>
  <c r="N11" i="11"/>
  <c r="P11" i="11" s="1"/>
  <c r="O11" i="11"/>
  <c r="Q11" i="11" s="1"/>
  <c r="N12" i="11"/>
  <c r="P12" i="11" s="1"/>
  <c r="O12" i="11"/>
  <c r="Q12" i="11" s="1"/>
  <c r="N13" i="11"/>
  <c r="O13" i="11"/>
  <c r="P13" i="11"/>
  <c r="Q13" i="11"/>
  <c r="N14" i="11"/>
  <c r="P14" i="11" s="1"/>
  <c r="O14" i="11"/>
  <c r="Q14" i="11" s="1"/>
  <c r="N15" i="11"/>
  <c r="O15" i="11"/>
  <c r="P15" i="11"/>
  <c r="Q15" i="11"/>
  <c r="N16" i="11"/>
  <c r="P16" i="11" s="1"/>
  <c r="O16" i="11"/>
  <c r="Q16" i="11" s="1"/>
  <c r="N17" i="11"/>
  <c r="P17" i="11" s="1"/>
  <c r="O17" i="11"/>
  <c r="Q17" i="11" s="1"/>
  <c r="N18" i="11"/>
  <c r="P18" i="11" s="1"/>
  <c r="O18" i="11"/>
  <c r="Q18" i="11"/>
  <c r="N19" i="11"/>
  <c r="P19" i="11" s="1"/>
  <c r="O19" i="11"/>
  <c r="Q19" i="11" s="1"/>
  <c r="N20" i="11"/>
  <c r="P20" i="11" s="1"/>
  <c r="O20" i="11"/>
  <c r="Q20" i="11" s="1"/>
  <c r="N21" i="11"/>
  <c r="P21" i="11" s="1"/>
  <c r="O21" i="11"/>
  <c r="Q21" i="11" s="1"/>
  <c r="N22" i="11"/>
  <c r="O22" i="11"/>
  <c r="P22" i="11"/>
  <c r="Q22" i="11"/>
  <c r="N23" i="11"/>
  <c r="P23" i="11" s="1"/>
  <c r="O23" i="11"/>
  <c r="Q23" i="11" s="1"/>
  <c r="N24" i="11"/>
  <c r="O24" i="11"/>
  <c r="P24" i="11"/>
  <c r="Q24" i="11"/>
  <c r="N25" i="11"/>
  <c r="P25" i="11" s="1"/>
  <c r="O25" i="11"/>
  <c r="Q25" i="11" s="1"/>
  <c r="N26" i="11"/>
  <c r="P26" i="11" s="1"/>
  <c r="O26" i="11"/>
  <c r="Q26" i="11" s="1"/>
  <c r="N27" i="11"/>
  <c r="P27" i="11" s="1"/>
  <c r="O27" i="11"/>
  <c r="Q27" i="11" s="1"/>
  <c r="N28" i="11"/>
  <c r="P28" i="11" s="1"/>
  <c r="O28" i="11"/>
  <c r="Q28" i="11" s="1"/>
  <c r="N29" i="11"/>
  <c r="P29" i="11" s="1"/>
  <c r="O29" i="11"/>
  <c r="Q29" i="11" s="1"/>
  <c r="N30" i="11"/>
  <c r="P30" i="11" s="1"/>
  <c r="O30" i="11"/>
  <c r="Q30" i="11" s="1"/>
  <c r="N31" i="11"/>
  <c r="P31" i="11" s="1"/>
  <c r="O31" i="11"/>
  <c r="Q31" i="11"/>
  <c r="N32" i="11"/>
  <c r="P32" i="11" s="1"/>
  <c r="O32" i="11"/>
  <c r="Q32" i="11" s="1"/>
  <c r="N33" i="11"/>
  <c r="P33" i="11" s="1"/>
  <c r="O33" i="11"/>
  <c r="Q33" i="11"/>
  <c r="N34" i="11"/>
  <c r="P34" i="11" s="1"/>
  <c r="O34" i="11"/>
  <c r="Q34" i="11"/>
  <c r="N35" i="11"/>
  <c r="P35" i="11" s="1"/>
  <c r="D35" i="1"/>
  <c r="O2" i="11"/>
  <c r="Q2" i="11" s="1"/>
  <c r="N2" i="11"/>
  <c r="P2" i="11" s="1"/>
  <c r="H3" i="11"/>
  <c r="J3" i="11" s="1"/>
  <c r="I3" i="11"/>
  <c r="K3" i="11" s="1"/>
  <c r="H4" i="11"/>
  <c r="J4" i="11" s="1"/>
  <c r="I4" i="11"/>
  <c r="K4" i="11" s="1"/>
  <c r="H5" i="11"/>
  <c r="J5" i="11" s="1"/>
  <c r="I5" i="11"/>
  <c r="K5" i="11" s="1"/>
  <c r="H6" i="11"/>
  <c r="J6" i="11" s="1"/>
  <c r="I6" i="11"/>
  <c r="K6" i="11" s="1"/>
  <c r="H7" i="11"/>
  <c r="J7" i="11" s="1"/>
  <c r="I7" i="11"/>
  <c r="K7" i="11" s="1"/>
  <c r="H8" i="11"/>
  <c r="J8" i="11" s="1"/>
  <c r="I8" i="11"/>
  <c r="K8" i="11" s="1"/>
  <c r="H9" i="11"/>
  <c r="J9" i="11" s="1"/>
  <c r="I9" i="11"/>
  <c r="K9" i="11" s="1"/>
  <c r="H10" i="11"/>
  <c r="J10" i="11" s="1"/>
  <c r="I10" i="11"/>
  <c r="K10" i="11" s="1"/>
  <c r="H11" i="11"/>
  <c r="J11" i="11" s="1"/>
  <c r="I11" i="11"/>
  <c r="K11" i="11" s="1"/>
  <c r="H12" i="11"/>
  <c r="J12" i="11" s="1"/>
  <c r="I12" i="11"/>
  <c r="K12" i="11" s="1"/>
  <c r="H13" i="11"/>
  <c r="J13" i="11" s="1"/>
  <c r="I13" i="11"/>
  <c r="K13" i="11" s="1"/>
  <c r="H14" i="11"/>
  <c r="J14" i="11" s="1"/>
  <c r="I14" i="11"/>
  <c r="K14" i="11" s="1"/>
  <c r="H15" i="11"/>
  <c r="J15" i="11" s="1"/>
  <c r="I15" i="11"/>
  <c r="K15" i="11" s="1"/>
  <c r="H16" i="11"/>
  <c r="J16" i="11" s="1"/>
  <c r="I16" i="11"/>
  <c r="K16" i="11" s="1"/>
  <c r="H17" i="11"/>
  <c r="J17" i="11" s="1"/>
  <c r="I17" i="11"/>
  <c r="K17" i="11" s="1"/>
  <c r="H18" i="11"/>
  <c r="J18" i="11" s="1"/>
  <c r="I18" i="11"/>
  <c r="K18" i="11" s="1"/>
  <c r="H19" i="11"/>
  <c r="J19" i="11" s="1"/>
  <c r="I19" i="11"/>
  <c r="K19" i="11" s="1"/>
  <c r="H20" i="11"/>
  <c r="J20" i="11" s="1"/>
  <c r="I20" i="11"/>
  <c r="K20" i="11" s="1"/>
  <c r="H21" i="11"/>
  <c r="J21" i="11" s="1"/>
  <c r="I21" i="11"/>
  <c r="K21" i="11" s="1"/>
  <c r="H22" i="11"/>
  <c r="J22" i="11" s="1"/>
  <c r="I22" i="11"/>
  <c r="K22" i="11" s="1"/>
  <c r="H23" i="11"/>
  <c r="J23" i="11" s="1"/>
  <c r="I23" i="11"/>
  <c r="K23" i="11" s="1"/>
  <c r="H24" i="11"/>
  <c r="J24" i="11" s="1"/>
  <c r="I24" i="11"/>
  <c r="K24" i="11" s="1"/>
  <c r="H25" i="11"/>
  <c r="I25" i="11"/>
  <c r="K25" i="11" s="1"/>
  <c r="J25" i="11"/>
  <c r="H26" i="11"/>
  <c r="J26" i="11" s="1"/>
  <c r="I26" i="11"/>
  <c r="K26" i="11" s="1"/>
  <c r="H27" i="11"/>
  <c r="J27" i="11" s="1"/>
  <c r="I27" i="11"/>
  <c r="K27" i="11" s="1"/>
  <c r="H28" i="11"/>
  <c r="J28" i="11" s="1"/>
  <c r="I28" i="11"/>
  <c r="K28" i="11" s="1"/>
  <c r="H29" i="11"/>
  <c r="J29" i="11" s="1"/>
  <c r="I29" i="11"/>
  <c r="K29" i="11" s="1"/>
  <c r="H30" i="11"/>
  <c r="J30" i="11" s="1"/>
  <c r="I30" i="11"/>
  <c r="K30" i="11" s="1"/>
  <c r="H31" i="11"/>
  <c r="J31" i="11" s="1"/>
  <c r="I31" i="11"/>
  <c r="K31" i="11" s="1"/>
  <c r="H32" i="11"/>
  <c r="J32" i="11" s="1"/>
  <c r="I32" i="11"/>
  <c r="K32" i="11" s="1"/>
  <c r="H33" i="11"/>
  <c r="J33" i="11" s="1"/>
  <c r="I33" i="11"/>
  <c r="K33" i="11"/>
  <c r="H34" i="11"/>
  <c r="J34" i="11" s="1"/>
  <c r="I34" i="11"/>
  <c r="K34" i="11" s="1"/>
  <c r="H35" i="11"/>
  <c r="J35" i="11" s="1"/>
  <c r="I35" i="11"/>
  <c r="K35" i="11" s="1"/>
  <c r="H36" i="11"/>
  <c r="J36" i="11" s="1"/>
  <c r="I36" i="11"/>
  <c r="K36" i="11" s="1"/>
  <c r="H37" i="11"/>
  <c r="J37" i="11" s="1"/>
  <c r="I37" i="11"/>
  <c r="K37" i="11" s="1"/>
  <c r="H38" i="11"/>
  <c r="J38" i="11" s="1"/>
  <c r="I38" i="11"/>
  <c r="K38" i="11" s="1"/>
  <c r="H39" i="11"/>
  <c r="J39" i="11" s="1"/>
  <c r="I39" i="11"/>
  <c r="K39" i="11" s="1"/>
  <c r="H40" i="11"/>
  <c r="J40" i="11" s="1"/>
  <c r="I40" i="11"/>
  <c r="K40" i="11" s="1"/>
  <c r="H41" i="11"/>
  <c r="J41" i="11" s="1"/>
  <c r="I41" i="11"/>
  <c r="K41" i="11" s="1"/>
  <c r="H42" i="11"/>
  <c r="J42" i="11" s="1"/>
  <c r="I42" i="11"/>
  <c r="K42" i="11" s="1"/>
  <c r="H43" i="11"/>
  <c r="J43" i="11" s="1"/>
  <c r="I43" i="11"/>
  <c r="K43" i="11" s="1"/>
  <c r="H44" i="11"/>
  <c r="J44" i="11" s="1"/>
  <c r="I44" i="11"/>
  <c r="K44" i="11" s="1"/>
  <c r="H45" i="11"/>
  <c r="J45" i="11" s="1"/>
  <c r="I45" i="11"/>
  <c r="K45" i="11" s="1"/>
  <c r="H46" i="11"/>
  <c r="J46" i="11" s="1"/>
  <c r="I46" i="11"/>
  <c r="K46" i="11" s="1"/>
  <c r="H47" i="11"/>
  <c r="J47" i="11" s="1"/>
  <c r="I47" i="11"/>
  <c r="K47" i="11" s="1"/>
  <c r="H48" i="11"/>
  <c r="J48" i="11" s="1"/>
  <c r="I48" i="11"/>
  <c r="K48" i="11" s="1"/>
  <c r="H49" i="11"/>
  <c r="J49" i="11" s="1"/>
  <c r="I49" i="11"/>
  <c r="K49" i="11" s="1"/>
  <c r="H50" i="11"/>
  <c r="J50" i="11" s="1"/>
  <c r="I50" i="11"/>
  <c r="K50" i="11" s="1"/>
  <c r="H51" i="11"/>
  <c r="J51" i="11" s="1"/>
  <c r="I51" i="11"/>
  <c r="K51" i="11" s="1"/>
  <c r="H52" i="11"/>
  <c r="J52" i="11" s="1"/>
  <c r="I52" i="11"/>
  <c r="K52" i="11" s="1"/>
  <c r="H53" i="11"/>
  <c r="J53" i="11" s="1"/>
  <c r="I53" i="11"/>
  <c r="K53" i="11" s="1"/>
  <c r="H54" i="11"/>
  <c r="I54" i="11"/>
  <c r="K54" i="11" s="1"/>
  <c r="J54" i="11"/>
  <c r="H55" i="11"/>
  <c r="J55" i="11" s="1"/>
  <c r="I55" i="11"/>
  <c r="K55" i="11" s="1"/>
  <c r="H56" i="11"/>
  <c r="J56" i="11" s="1"/>
  <c r="I56" i="11"/>
  <c r="K56" i="11" s="1"/>
  <c r="H57" i="11"/>
  <c r="J57" i="11" s="1"/>
  <c r="I57" i="11"/>
  <c r="K57" i="11" s="1"/>
  <c r="H58" i="11"/>
  <c r="J58" i="11" s="1"/>
  <c r="I58" i="11"/>
  <c r="K58" i="11"/>
  <c r="H59" i="11"/>
  <c r="J59" i="11" s="1"/>
  <c r="I59" i="11"/>
  <c r="K59" i="11" s="1"/>
  <c r="H60" i="11"/>
  <c r="J60" i="11" s="1"/>
  <c r="I60" i="11"/>
  <c r="K60" i="11" s="1"/>
  <c r="H61" i="11"/>
  <c r="I61" i="11"/>
  <c r="K61" i="11" s="1"/>
  <c r="J61" i="11"/>
  <c r="H62" i="11"/>
  <c r="J62" i="11" s="1"/>
  <c r="I62" i="11"/>
  <c r="K62" i="11" s="1"/>
  <c r="H63" i="11"/>
  <c r="J63" i="11" s="1"/>
  <c r="I63" i="11"/>
  <c r="K63" i="11" s="1"/>
  <c r="H64" i="11"/>
  <c r="J64" i="11" s="1"/>
  <c r="I64" i="11"/>
  <c r="K64" i="11" s="1"/>
  <c r="H65" i="11"/>
  <c r="J65" i="11" s="1"/>
  <c r="I65" i="11"/>
  <c r="K65" i="11" s="1"/>
  <c r="H66" i="11"/>
  <c r="J66" i="11" s="1"/>
  <c r="I66" i="11"/>
  <c r="K66" i="11" s="1"/>
  <c r="H67" i="11"/>
  <c r="J67" i="11" s="1"/>
  <c r="I67" i="11"/>
  <c r="K67" i="11" s="1"/>
  <c r="H68" i="11"/>
  <c r="J68" i="11" s="1"/>
  <c r="I68" i="11"/>
  <c r="K68" i="11" s="1"/>
  <c r="H69" i="11"/>
  <c r="J69" i="11" s="1"/>
  <c r="I69" i="11"/>
  <c r="K69" i="11" s="1"/>
  <c r="H70" i="11"/>
  <c r="J70" i="11" s="1"/>
  <c r="I70" i="11"/>
  <c r="K70" i="11" s="1"/>
  <c r="I2" i="11"/>
  <c r="K2" i="11" s="1"/>
  <c r="H2" i="11"/>
  <c r="J2" i="11" s="1"/>
  <c r="B3" i="11"/>
  <c r="D3" i="11" s="1"/>
  <c r="C3" i="11"/>
  <c r="E3" i="11"/>
  <c r="B4" i="11"/>
  <c r="D4" i="11" s="1"/>
  <c r="C4" i="11"/>
  <c r="E4" i="11" s="1"/>
  <c r="B5" i="11"/>
  <c r="C5" i="11"/>
  <c r="D5" i="11"/>
  <c r="E5" i="11"/>
  <c r="B6" i="11"/>
  <c r="D6" i="11" s="1"/>
  <c r="C6" i="11"/>
  <c r="E6" i="11" s="1"/>
  <c r="B7" i="11"/>
  <c r="D7" i="11" s="1"/>
  <c r="C7" i="11"/>
  <c r="E7" i="11" s="1"/>
  <c r="B8" i="11"/>
  <c r="D8" i="11" s="1"/>
  <c r="C8" i="11"/>
  <c r="E8" i="11" s="1"/>
  <c r="B9" i="11"/>
  <c r="D9" i="11" s="1"/>
  <c r="C9" i="11"/>
  <c r="E9" i="11"/>
  <c r="B10" i="11"/>
  <c r="D10" i="11" s="1"/>
  <c r="C10" i="11"/>
  <c r="E10" i="11" s="1"/>
  <c r="B11" i="11"/>
  <c r="C11" i="11"/>
  <c r="D11" i="11"/>
  <c r="E11" i="11"/>
  <c r="B12" i="11"/>
  <c r="D12" i="11" s="1"/>
  <c r="C12" i="11"/>
  <c r="E12" i="11" s="1"/>
  <c r="B13" i="11"/>
  <c r="D13" i="11" s="1"/>
  <c r="C13" i="11"/>
  <c r="E13" i="11" s="1"/>
  <c r="B14" i="11"/>
  <c r="D14" i="11" s="1"/>
  <c r="C14" i="11"/>
  <c r="E14" i="11" s="1"/>
  <c r="B15" i="11"/>
  <c r="D15" i="11" s="1"/>
  <c r="C15" i="11"/>
  <c r="E15" i="11"/>
  <c r="B16" i="11"/>
  <c r="D16" i="11" s="1"/>
  <c r="C16" i="11"/>
  <c r="E16" i="11" s="1"/>
  <c r="B17" i="11"/>
  <c r="C17" i="11"/>
  <c r="D17" i="11"/>
  <c r="E17" i="11"/>
  <c r="B18" i="11"/>
  <c r="D18" i="11" s="1"/>
  <c r="C18" i="11"/>
  <c r="E18" i="11" s="1"/>
  <c r="B19" i="11"/>
  <c r="D19" i="11" s="1"/>
  <c r="C19" i="11"/>
  <c r="E19" i="11" s="1"/>
  <c r="B20" i="11"/>
  <c r="D20" i="11" s="1"/>
  <c r="C20" i="11"/>
  <c r="E20" i="11" s="1"/>
  <c r="B21" i="11"/>
  <c r="D21" i="11" s="1"/>
  <c r="C21" i="11"/>
  <c r="E21" i="11"/>
  <c r="B22" i="11"/>
  <c r="D22" i="11" s="1"/>
  <c r="C22" i="11"/>
  <c r="E22" i="11" s="1"/>
  <c r="B23" i="11"/>
  <c r="C23" i="11"/>
  <c r="D23" i="11"/>
  <c r="E23" i="11"/>
  <c r="B24" i="11"/>
  <c r="D24" i="11" s="1"/>
  <c r="C24" i="11"/>
  <c r="E24" i="11" s="1"/>
  <c r="B25" i="11"/>
  <c r="D25" i="11" s="1"/>
  <c r="C25" i="11"/>
  <c r="E25" i="11" s="1"/>
  <c r="B26" i="11"/>
  <c r="D26" i="11" s="1"/>
  <c r="C26" i="11"/>
  <c r="E26" i="11" s="1"/>
  <c r="B27" i="11"/>
  <c r="D27" i="11" s="1"/>
  <c r="C27" i="11"/>
  <c r="E27" i="11"/>
  <c r="B28" i="11"/>
  <c r="D28" i="11" s="1"/>
  <c r="C28" i="11"/>
  <c r="E28" i="11" s="1"/>
  <c r="B29" i="11"/>
  <c r="C29" i="11"/>
  <c r="D29" i="11"/>
  <c r="E29" i="11"/>
  <c r="B30" i="11"/>
  <c r="D30" i="11" s="1"/>
  <c r="C30" i="11"/>
  <c r="E30" i="11" s="1"/>
  <c r="B31" i="11"/>
  <c r="D31" i="11" s="1"/>
  <c r="C31" i="11"/>
  <c r="E31" i="11" s="1"/>
  <c r="B32" i="11"/>
  <c r="D32" i="11" s="1"/>
  <c r="C32" i="11"/>
  <c r="E32" i="11" s="1"/>
  <c r="B33" i="11"/>
  <c r="D33" i="11" s="1"/>
  <c r="C33" i="11"/>
  <c r="E33" i="11"/>
  <c r="B34" i="11"/>
  <c r="D34" i="11" s="1"/>
  <c r="C34" i="11"/>
  <c r="E34" i="11" s="1"/>
  <c r="B35" i="11"/>
  <c r="C35" i="11"/>
  <c r="D35" i="11"/>
  <c r="E35" i="11"/>
  <c r="B36" i="11"/>
  <c r="D36" i="11" s="1"/>
  <c r="C36" i="11"/>
  <c r="E36" i="11" s="1"/>
  <c r="B37" i="11"/>
  <c r="D37" i="11" s="1"/>
  <c r="C37" i="11"/>
  <c r="E37" i="11" s="1"/>
  <c r="B38" i="11"/>
  <c r="D38" i="11" s="1"/>
  <c r="C38" i="11"/>
  <c r="E38" i="11" s="1"/>
  <c r="B39" i="11"/>
  <c r="D39" i="11" s="1"/>
  <c r="C39" i="11"/>
  <c r="E39" i="11"/>
  <c r="B40" i="11"/>
  <c r="D40" i="11" s="1"/>
  <c r="C40" i="11"/>
  <c r="E40" i="11" s="1"/>
  <c r="B41" i="11"/>
  <c r="C41" i="11"/>
  <c r="D41" i="11"/>
  <c r="E41" i="11"/>
  <c r="B42" i="11"/>
  <c r="D42" i="11" s="1"/>
  <c r="C42" i="11"/>
  <c r="E42" i="11" s="1"/>
  <c r="B43" i="11"/>
  <c r="D43" i="11" s="1"/>
  <c r="C43" i="11"/>
  <c r="E43" i="11" s="1"/>
  <c r="B44" i="11"/>
  <c r="D44" i="11" s="1"/>
  <c r="C44" i="11"/>
  <c r="E44" i="11" s="1"/>
  <c r="B45" i="11"/>
  <c r="D45" i="11" s="1"/>
  <c r="C45" i="11"/>
  <c r="E45" i="11"/>
  <c r="B46" i="11"/>
  <c r="D46" i="11" s="1"/>
  <c r="C46" i="11"/>
  <c r="E46" i="11" s="1"/>
  <c r="B47" i="11"/>
  <c r="C47" i="11"/>
  <c r="D47" i="11"/>
  <c r="E47" i="11"/>
  <c r="B48" i="11"/>
  <c r="D48" i="11" s="1"/>
  <c r="C48" i="11"/>
  <c r="E48" i="11" s="1"/>
  <c r="B49" i="11"/>
  <c r="D49" i="11" s="1"/>
  <c r="C49" i="11"/>
  <c r="E49" i="11" s="1"/>
  <c r="B50" i="11"/>
  <c r="D50" i="11" s="1"/>
  <c r="C50" i="11"/>
  <c r="E50" i="11" s="1"/>
  <c r="B51" i="11"/>
  <c r="D51" i="11" s="1"/>
  <c r="C51" i="11"/>
  <c r="E51" i="11"/>
  <c r="B52" i="11"/>
  <c r="D52" i="11" s="1"/>
  <c r="C52" i="11"/>
  <c r="E52" i="11" s="1"/>
  <c r="B53" i="11"/>
  <c r="C53" i="11"/>
  <c r="D53" i="11"/>
  <c r="E53" i="11"/>
  <c r="B54" i="11"/>
  <c r="D54" i="11" s="1"/>
  <c r="C54" i="11"/>
  <c r="E54" i="11" s="1"/>
  <c r="B55" i="11"/>
  <c r="D55" i="11" s="1"/>
  <c r="C55" i="11"/>
  <c r="E55" i="11" s="1"/>
  <c r="B56" i="11"/>
  <c r="D56" i="11" s="1"/>
  <c r="C56" i="11"/>
  <c r="E56" i="11" s="1"/>
  <c r="B57" i="11"/>
  <c r="D57" i="11" s="1"/>
  <c r="C57" i="11"/>
  <c r="E57" i="11"/>
  <c r="B58" i="11"/>
  <c r="D58" i="11" s="1"/>
  <c r="C58" i="11"/>
  <c r="E58" i="11" s="1"/>
  <c r="B59" i="11"/>
  <c r="C59" i="11"/>
  <c r="D59" i="11"/>
  <c r="E59" i="11"/>
  <c r="B60" i="11"/>
  <c r="D60" i="11" s="1"/>
  <c r="C60" i="11"/>
  <c r="E60" i="11" s="1"/>
  <c r="B61" i="11"/>
  <c r="D61" i="11" s="1"/>
  <c r="C61" i="11"/>
  <c r="E61" i="11" s="1"/>
  <c r="B62" i="11"/>
  <c r="D62" i="11" s="1"/>
  <c r="C62" i="11"/>
  <c r="E62" i="11" s="1"/>
  <c r="B63" i="11"/>
  <c r="D63" i="11" s="1"/>
  <c r="C63" i="11"/>
  <c r="E63" i="11"/>
  <c r="B64" i="11"/>
  <c r="D64" i="11" s="1"/>
  <c r="C64" i="11"/>
  <c r="E64" i="11" s="1"/>
  <c r="B65" i="11"/>
  <c r="C65" i="11"/>
  <c r="D65" i="11"/>
  <c r="E65" i="11"/>
  <c r="B66" i="11"/>
  <c r="D66" i="11" s="1"/>
  <c r="C66" i="11"/>
  <c r="E66" i="11" s="1"/>
  <c r="B67" i="11"/>
  <c r="D67" i="11" s="1"/>
  <c r="C67" i="11"/>
  <c r="E67" i="11" s="1"/>
  <c r="B68" i="11"/>
  <c r="D68" i="11" s="1"/>
  <c r="C68" i="11"/>
  <c r="E68" i="11" s="1"/>
  <c r="B69" i="11"/>
  <c r="D69" i="11" s="1"/>
  <c r="C69" i="11"/>
  <c r="E69" i="11"/>
  <c r="B70" i="11"/>
  <c r="D70" i="11" s="1"/>
  <c r="C70" i="11"/>
  <c r="E70" i="11" s="1"/>
  <c r="B71" i="11"/>
  <c r="C71" i="11"/>
  <c r="D71" i="11"/>
  <c r="E71" i="11"/>
  <c r="C2" i="11"/>
  <c r="E2" i="11" s="1"/>
  <c r="B2" i="11"/>
  <c r="D2" i="11" s="1"/>
  <c r="AF4" i="10"/>
  <c r="AG4" i="10"/>
  <c r="AH4" i="10"/>
  <c r="AI4" i="10"/>
  <c r="AF5" i="10"/>
  <c r="AG5" i="10"/>
  <c r="AH5" i="10"/>
  <c r="AI5" i="10"/>
  <c r="AF6" i="10"/>
  <c r="AG6" i="10"/>
  <c r="AH6" i="10"/>
  <c r="AI6" i="10"/>
  <c r="AF7" i="10"/>
  <c r="AG7" i="10"/>
  <c r="AH7" i="10"/>
  <c r="AI7" i="10"/>
  <c r="AF8" i="10"/>
  <c r="AG8" i="10"/>
  <c r="AH8" i="10"/>
  <c r="AI8" i="10"/>
  <c r="AF9" i="10"/>
  <c r="AG9" i="10"/>
  <c r="AH9" i="10"/>
  <c r="AI9" i="10"/>
  <c r="AF10" i="10"/>
  <c r="AG10" i="10"/>
  <c r="AH10" i="10"/>
  <c r="AI10" i="10"/>
  <c r="AF11" i="10"/>
  <c r="AG11" i="10"/>
  <c r="AH11" i="10"/>
  <c r="AI11" i="10"/>
  <c r="AF12" i="10"/>
  <c r="AG12" i="10"/>
  <c r="AH12" i="10"/>
  <c r="AI12" i="10"/>
  <c r="AF13" i="10"/>
  <c r="AG13" i="10"/>
  <c r="AH13" i="10"/>
  <c r="AI13" i="10"/>
  <c r="AF14" i="10"/>
  <c r="AG14" i="10"/>
  <c r="AH14" i="10"/>
  <c r="AI14" i="10"/>
  <c r="AF15" i="10"/>
  <c r="AG15" i="10"/>
  <c r="AH15" i="10"/>
  <c r="AI15" i="10"/>
  <c r="AF16" i="10"/>
  <c r="AG16" i="10"/>
  <c r="AH16" i="10"/>
  <c r="AI16" i="10"/>
  <c r="AF17" i="10"/>
  <c r="AG17" i="10"/>
  <c r="AH17" i="10"/>
  <c r="AI17" i="10"/>
  <c r="AF18" i="10"/>
  <c r="AG18" i="10"/>
  <c r="AH18" i="10"/>
  <c r="AI18" i="10"/>
  <c r="AF19" i="10"/>
  <c r="AG19" i="10"/>
  <c r="AH19" i="10"/>
  <c r="AI19" i="10"/>
  <c r="AF20" i="10"/>
  <c r="AG20" i="10"/>
  <c r="AH20" i="10"/>
  <c r="AI20" i="10"/>
  <c r="AF21" i="10"/>
  <c r="AG21" i="10"/>
  <c r="AH21" i="10"/>
  <c r="AI21" i="10"/>
  <c r="AF22" i="10"/>
  <c r="AG22" i="10"/>
  <c r="AH22" i="10"/>
  <c r="AI22" i="10"/>
  <c r="AF23" i="10"/>
  <c r="AG23" i="10"/>
  <c r="AH23" i="10"/>
  <c r="AI23" i="10"/>
  <c r="AF24" i="10"/>
  <c r="AG24" i="10"/>
  <c r="AH24" i="10"/>
  <c r="AI24" i="10"/>
  <c r="AF25" i="10"/>
  <c r="AG25" i="10"/>
  <c r="AH25" i="10"/>
  <c r="AI25" i="10"/>
  <c r="AF26" i="10"/>
  <c r="AG26" i="10"/>
  <c r="AH26" i="10"/>
  <c r="AI26" i="10"/>
  <c r="AF27" i="10"/>
  <c r="AG27" i="10"/>
  <c r="AH27" i="10"/>
  <c r="AI27" i="10"/>
  <c r="AF28" i="10"/>
  <c r="AG28" i="10"/>
  <c r="AH28" i="10"/>
  <c r="AI28" i="10"/>
  <c r="AF29" i="10"/>
  <c r="AG29" i="10"/>
  <c r="AH29" i="10"/>
  <c r="AI29" i="10"/>
  <c r="AF30" i="10"/>
  <c r="AG30" i="10"/>
  <c r="AH30" i="10"/>
  <c r="AI30" i="10"/>
  <c r="AF31" i="10"/>
  <c r="AG31" i="10"/>
  <c r="AH31" i="10"/>
  <c r="AI31" i="10"/>
  <c r="AF32" i="10"/>
  <c r="AG32" i="10"/>
  <c r="AH32" i="10"/>
  <c r="AI32" i="10"/>
  <c r="AF33" i="10"/>
  <c r="AG33" i="10"/>
  <c r="AH33" i="10"/>
  <c r="AI33" i="10"/>
  <c r="AF34" i="10"/>
  <c r="AG34" i="10"/>
  <c r="AH34" i="10"/>
  <c r="AI34" i="10"/>
  <c r="AF35" i="10"/>
  <c r="AG35" i="10"/>
  <c r="AH35" i="10"/>
  <c r="AI35" i="10"/>
  <c r="AF36" i="10"/>
  <c r="AG36" i="10"/>
  <c r="AH36" i="10"/>
  <c r="AI36" i="10"/>
  <c r="AG3" i="10"/>
  <c r="AI3" i="10" s="1"/>
  <c r="AF3" i="10"/>
  <c r="AH3" i="10" s="1"/>
  <c r="Z4" i="10"/>
  <c r="AA4" i="10"/>
  <c r="AB4" i="10"/>
  <c r="AC4" i="10"/>
  <c r="Z5" i="10"/>
  <c r="AA5" i="10"/>
  <c r="AB5" i="10"/>
  <c r="AC5" i="10"/>
  <c r="Z6" i="10"/>
  <c r="AA6" i="10"/>
  <c r="AB6" i="10"/>
  <c r="AC6" i="10"/>
  <c r="Z7" i="10"/>
  <c r="AA7" i="10"/>
  <c r="AB7" i="10"/>
  <c r="AC7" i="10"/>
  <c r="Z8" i="10"/>
  <c r="AA8" i="10"/>
  <c r="AB8" i="10"/>
  <c r="AC8" i="10"/>
  <c r="Z9" i="10"/>
  <c r="AA9" i="10"/>
  <c r="AB9" i="10"/>
  <c r="AC9" i="10"/>
  <c r="Z10" i="10"/>
  <c r="AA10" i="10"/>
  <c r="AB10" i="10"/>
  <c r="AC10" i="10"/>
  <c r="Z11" i="10"/>
  <c r="AA11" i="10"/>
  <c r="AB11" i="10"/>
  <c r="AC11" i="10"/>
  <c r="Z12" i="10"/>
  <c r="AA12" i="10"/>
  <c r="AB12" i="10"/>
  <c r="AC12" i="10"/>
  <c r="Z13" i="10"/>
  <c r="AA13" i="10"/>
  <c r="AB13" i="10"/>
  <c r="AC13" i="10"/>
  <c r="Z14" i="10"/>
  <c r="AA14" i="10"/>
  <c r="AB14" i="10"/>
  <c r="AC14" i="10"/>
  <c r="Z15" i="10"/>
  <c r="AA15" i="10"/>
  <c r="AB15" i="10"/>
  <c r="AC15" i="10"/>
  <c r="Z16" i="10"/>
  <c r="AA16" i="10"/>
  <c r="AB16" i="10"/>
  <c r="AC16" i="10"/>
  <c r="Z17" i="10"/>
  <c r="AA17" i="10"/>
  <c r="AB17" i="10"/>
  <c r="AC17" i="10"/>
  <c r="Z18" i="10"/>
  <c r="AA18" i="10"/>
  <c r="AB18" i="10"/>
  <c r="AC18" i="10"/>
  <c r="Z19" i="10"/>
  <c r="AA19" i="10"/>
  <c r="AB19" i="10"/>
  <c r="AC19" i="10"/>
  <c r="Z20" i="10"/>
  <c r="AA20" i="10"/>
  <c r="AB20" i="10"/>
  <c r="AC20" i="10"/>
  <c r="Z21" i="10"/>
  <c r="AA21" i="10"/>
  <c r="AB21" i="10"/>
  <c r="AC21" i="10"/>
  <c r="Z22" i="10"/>
  <c r="AA22" i="10"/>
  <c r="AB22" i="10"/>
  <c r="AC22" i="10"/>
  <c r="Z23" i="10"/>
  <c r="AA23" i="10"/>
  <c r="AB23" i="10"/>
  <c r="AC23" i="10"/>
  <c r="Z24" i="10"/>
  <c r="AA24" i="10"/>
  <c r="AB24" i="10"/>
  <c r="AC24" i="10"/>
  <c r="Z25" i="10"/>
  <c r="AA25" i="10"/>
  <c r="AB25" i="10"/>
  <c r="AC25" i="10"/>
  <c r="Z26" i="10"/>
  <c r="AA26" i="10"/>
  <c r="AB26" i="10"/>
  <c r="AC26" i="10"/>
  <c r="Z27" i="10"/>
  <c r="AA27" i="10"/>
  <c r="AB27" i="10"/>
  <c r="AC27" i="10"/>
  <c r="Z28" i="10"/>
  <c r="AA28" i="10"/>
  <c r="AB28" i="10"/>
  <c r="AC28" i="10"/>
  <c r="Z29" i="10"/>
  <c r="AA29" i="10"/>
  <c r="AB29" i="10"/>
  <c r="AC29" i="10"/>
  <c r="Z30" i="10"/>
  <c r="AA30" i="10"/>
  <c r="AB30" i="10"/>
  <c r="AC30" i="10"/>
  <c r="Z31" i="10"/>
  <c r="AA31" i="10"/>
  <c r="AB31" i="10"/>
  <c r="AC31" i="10"/>
  <c r="Z32" i="10"/>
  <c r="AA32" i="10"/>
  <c r="AB32" i="10"/>
  <c r="AC32" i="10"/>
  <c r="Z33" i="10"/>
  <c r="AA33" i="10"/>
  <c r="AB33" i="10"/>
  <c r="AC33" i="10"/>
  <c r="Z34" i="10"/>
  <c r="AA34" i="10"/>
  <c r="AB34" i="10"/>
  <c r="AC34" i="10"/>
  <c r="Z35" i="10"/>
  <c r="AA35" i="10"/>
  <c r="AB35" i="10"/>
  <c r="AC35" i="10"/>
  <c r="Z36" i="10"/>
  <c r="AA36" i="10"/>
  <c r="AB36" i="10"/>
  <c r="AC36" i="10"/>
  <c r="Z37" i="10"/>
  <c r="AA37" i="10"/>
  <c r="AB37" i="10"/>
  <c r="AC37" i="10"/>
  <c r="Z38" i="10"/>
  <c r="AA38" i="10"/>
  <c r="AB38" i="10"/>
  <c r="AC38" i="10"/>
  <c r="Z39" i="10"/>
  <c r="AA39" i="10"/>
  <c r="AB39" i="10"/>
  <c r="AC39" i="10"/>
  <c r="Z40" i="10"/>
  <c r="AA40" i="10"/>
  <c r="AB40" i="10"/>
  <c r="AC40" i="10"/>
  <c r="Z41" i="10"/>
  <c r="AA41" i="10"/>
  <c r="AB41" i="10"/>
  <c r="AC41" i="10"/>
  <c r="Z42" i="10"/>
  <c r="AA42" i="10"/>
  <c r="AB42" i="10"/>
  <c r="AC42" i="10"/>
  <c r="Z43" i="10"/>
  <c r="AA43" i="10"/>
  <c r="AB43" i="10"/>
  <c r="AC43" i="10"/>
  <c r="Z44" i="10"/>
  <c r="AA44" i="10"/>
  <c r="AB44" i="10"/>
  <c r="AC44" i="10"/>
  <c r="Z45" i="10"/>
  <c r="AA45" i="10"/>
  <c r="AB45" i="10"/>
  <c r="AC45" i="10"/>
  <c r="Z46" i="10"/>
  <c r="AA46" i="10"/>
  <c r="AB46" i="10"/>
  <c r="AC46" i="10"/>
  <c r="Z47" i="10"/>
  <c r="AA47" i="10"/>
  <c r="AB47" i="10"/>
  <c r="AC47" i="10"/>
  <c r="Z48" i="10"/>
  <c r="AA48" i="10"/>
  <c r="AB48" i="10"/>
  <c r="AC48" i="10"/>
  <c r="Z49" i="10"/>
  <c r="AA49" i="10"/>
  <c r="AB49" i="10"/>
  <c r="AC49" i="10"/>
  <c r="Z50" i="10"/>
  <c r="AA50" i="10"/>
  <c r="AB50" i="10"/>
  <c r="AC50" i="10"/>
  <c r="Z51" i="10"/>
  <c r="AA51" i="10"/>
  <c r="AB51" i="10"/>
  <c r="AC51" i="10"/>
  <c r="Z52" i="10"/>
  <c r="AA52" i="10"/>
  <c r="AB52" i="10"/>
  <c r="AC52" i="10"/>
  <c r="Z53" i="10"/>
  <c r="AA53" i="10"/>
  <c r="AB53" i="10"/>
  <c r="AC53" i="10"/>
  <c r="Z54" i="10"/>
  <c r="AA54" i="10"/>
  <c r="AB54" i="10"/>
  <c r="AC54" i="10"/>
  <c r="Z55" i="10"/>
  <c r="AA55" i="10"/>
  <c r="AB55" i="10"/>
  <c r="AC55" i="10"/>
  <c r="Z56" i="10"/>
  <c r="AA56" i="10"/>
  <c r="AB56" i="10"/>
  <c r="AC56" i="10"/>
  <c r="Z57" i="10"/>
  <c r="AA57" i="10"/>
  <c r="AB57" i="10"/>
  <c r="AC57" i="10"/>
  <c r="Z58" i="10"/>
  <c r="AA58" i="10"/>
  <c r="AB58" i="10"/>
  <c r="AC58" i="10"/>
  <c r="Z59" i="10"/>
  <c r="AA59" i="10"/>
  <c r="AB59" i="10"/>
  <c r="AC59" i="10"/>
  <c r="Z60" i="10"/>
  <c r="AA60" i="10"/>
  <c r="AB60" i="10"/>
  <c r="AC60" i="10"/>
  <c r="Z61" i="10"/>
  <c r="AA61" i="10"/>
  <c r="AB61" i="10"/>
  <c r="AC61" i="10"/>
  <c r="Z62" i="10"/>
  <c r="AA62" i="10"/>
  <c r="AB62" i="10"/>
  <c r="AC62" i="10"/>
  <c r="Z63" i="10"/>
  <c r="AA63" i="10"/>
  <c r="AB63" i="10"/>
  <c r="AC63" i="10"/>
  <c r="Z64" i="10"/>
  <c r="AA64" i="10"/>
  <c r="AB64" i="10"/>
  <c r="AC64" i="10"/>
  <c r="Z65" i="10"/>
  <c r="AA65" i="10"/>
  <c r="AB65" i="10"/>
  <c r="AC65" i="10"/>
  <c r="Z66" i="10"/>
  <c r="AA66" i="10"/>
  <c r="AB66" i="10"/>
  <c r="AC66" i="10"/>
  <c r="Z67" i="10"/>
  <c r="AA67" i="10"/>
  <c r="AB67" i="10"/>
  <c r="AC67" i="10"/>
  <c r="Z68" i="10"/>
  <c r="AA68" i="10"/>
  <c r="AB68" i="10"/>
  <c r="AC68" i="10"/>
  <c r="Z69" i="10"/>
  <c r="AA69" i="10"/>
  <c r="AB69" i="10"/>
  <c r="AC69" i="10"/>
  <c r="Z70" i="10"/>
  <c r="AA70" i="10"/>
  <c r="AB70" i="10"/>
  <c r="AC70" i="10"/>
  <c r="Z71" i="10"/>
  <c r="AA71" i="10"/>
  <c r="AB71" i="10"/>
  <c r="AC71" i="10"/>
  <c r="AA3" i="10"/>
  <c r="AC3" i="10" s="1"/>
  <c r="Z3" i="10"/>
  <c r="AB3" i="10" s="1"/>
  <c r="T4" i="10"/>
  <c r="U4" i="10"/>
  <c r="V4" i="10"/>
  <c r="W4" i="10"/>
  <c r="T5" i="10"/>
  <c r="U5" i="10"/>
  <c r="V5" i="10"/>
  <c r="W5" i="10"/>
  <c r="T6" i="10"/>
  <c r="U6" i="10"/>
  <c r="V6" i="10"/>
  <c r="W6" i="10"/>
  <c r="T7" i="10"/>
  <c r="U7" i="10"/>
  <c r="V7" i="10"/>
  <c r="W7" i="10"/>
  <c r="T8" i="10"/>
  <c r="U8" i="10"/>
  <c r="V8" i="10"/>
  <c r="W8" i="10"/>
  <c r="T9" i="10"/>
  <c r="U9" i="10"/>
  <c r="V9" i="10"/>
  <c r="W9" i="10"/>
  <c r="T10" i="10"/>
  <c r="U10" i="10"/>
  <c r="V10" i="10"/>
  <c r="W10" i="10"/>
  <c r="T11" i="10"/>
  <c r="U11" i="10"/>
  <c r="V11" i="10"/>
  <c r="W11" i="10"/>
  <c r="T12" i="10"/>
  <c r="U12" i="10"/>
  <c r="V12" i="10"/>
  <c r="W12" i="10"/>
  <c r="T13" i="10"/>
  <c r="U13" i="10"/>
  <c r="V13" i="10"/>
  <c r="W13" i="10"/>
  <c r="T14" i="10"/>
  <c r="U14" i="10"/>
  <c r="V14" i="10"/>
  <c r="W14" i="10"/>
  <c r="T15" i="10"/>
  <c r="U15" i="10"/>
  <c r="V15" i="10"/>
  <c r="W15" i="10"/>
  <c r="T16" i="10"/>
  <c r="U16" i="10"/>
  <c r="V16" i="10"/>
  <c r="W16" i="10"/>
  <c r="T17" i="10"/>
  <c r="U17" i="10"/>
  <c r="V17" i="10"/>
  <c r="W17" i="10"/>
  <c r="T18" i="10"/>
  <c r="U18" i="10"/>
  <c r="V18" i="10"/>
  <c r="W18" i="10"/>
  <c r="T19" i="10"/>
  <c r="U19" i="10"/>
  <c r="V19" i="10"/>
  <c r="W19" i="10"/>
  <c r="T20" i="10"/>
  <c r="U20" i="10"/>
  <c r="V20" i="10"/>
  <c r="W20" i="10"/>
  <c r="T21" i="10"/>
  <c r="U21" i="10"/>
  <c r="V21" i="10"/>
  <c r="W21" i="10"/>
  <c r="T22" i="10"/>
  <c r="U22" i="10"/>
  <c r="V22" i="10"/>
  <c r="W22" i="10"/>
  <c r="T23" i="10"/>
  <c r="U23" i="10"/>
  <c r="V23" i="10"/>
  <c r="W23" i="10"/>
  <c r="T24" i="10"/>
  <c r="U24" i="10"/>
  <c r="V24" i="10"/>
  <c r="W24" i="10"/>
  <c r="T25" i="10"/>
  <c r="U25" i="10"/>
  <c r="V25" i="10"/>
  <c r="W25" i="10"/>
  <c r="T26" i="10"/>
  <c r="U26" i="10"/>
  <c r="V26" i="10"/>
  <c r="W26" i="10"/>
  <c r="T27" i="10"/>
  <c r="U27" i="10"/>
  <c r="V27" i="10"/>
  <c r="W27" i="10"/>
  <c r="T28" i="10"/>
  <c r="U28" i="10"/>
  <c r="V28" i="10"/>
  <c r="W28" i="10"/>
  <c r="T29" i="10"/>
  <c r="U29" i="10"/>
  <c r="V29" i="10"/>
  <c r="W29" i="10"/>
  <c r="T30" i="10"/>
  <c r="U30" i="10"/>
  <c r="V30" i="10"/>
  <c r="W30" i="10"/>
  <c r="T31" i="10"/>
  <c r="U31" i="10"/>
  <c r="V31" i="10"/>
  <c r="W31" i="10"/>
  <c r="T32" i="10"/>
  <c r="U32" i="10"/>
  <c r="V32" i="10"/>
  <c r="W32" i="10"/>
  <c r="T33" i="10"/>
  <c r="U33" i="10"/>
  <c r="V33" i="10"/>
  <c r="W33" i="10"/>
  <c r="T34" i="10"/>
  <c r="U34" i="10"/>
  <c r="V34" i="10"/>
  <c r="W34" i="10"/>
  <c r="T35" i="10"/>
  <c r="U35" i="10"/>
  <c r="V35" i="10"/>
  <c r="W35" i="10"/>
  <c r="T36" i="10"/>
  <c r="U36" i="10"/>
  <c r="V36" i="10"/>
  <c r="W36" i="10"/>
  <c r="T37" i="10"/>
  <c r="U37" i="10"/>
  <c r="V37" i="10"/>
  <c r="W37" i="10"/>
  <c r="T38" i="10"/>
  <c r="U38" i="10"/>
  <c r="V38" i="10"/>
  <c r="W38" i="10"/>
  <c r="T39" i="10"/>
  <c r="U39" i="10"/>
  <c r="V39" i="10"/>
  <c r="W39" i="10"/>
  <c r="T40" i="10"/>
  <c r="U40" i="10"/>
  <c r="V40" i="10"/>
  <c r="W40" i="10"/>
  <c r="T41" i="10"/>
  <c r="U41" i="10"/>
  <c r="V41" i="10"/>
  <c r="W41" i="10"/>
  <c r="T42" i="10"/>
  <c r="U42" i="10"/>
  <c r="V42" i="10"/>
  <c r="W42" i="10"/>
  <c r="T43" i="10"/>
  <c r="U43" i="10"/>
  <c r="V43" i="10"/>
  <c r="W43" i="10"/>
  <c r="T44" i="10"/>
  <c r="U44" i="10"/>
  <c r="V44" i="10"/>
  <c r="W44" i="10"/>
  <c r="T45" i="10"/>
  <c r="U45" i="10"/>
  <c r="V45" i="10"/>
  <c r="W45" i="10"/>
  <c r="T46" i="10"/>
  <c r="U46" i="10"/>
  <c r="V46" i="10"/>
  <c r="W46" i="10"/>
  <c r="T47" i="10"/>
  <c r="U47" i="10"/>
  <c r="V47" i="10"/>
  <c r="W47" i="10"/>
  <c r="T48" i="10"/>
  <c r="U48" i="10"/>
  <c r="V48" i="10"/>
  <c r="W48" i="10"/>
  <c r="T49" i="10"/>
  <c r="U49" i="10"/>
  <c r="V49" i="10"/>
  <c r="W49" i="10"/>
  <c r="T50" i="10"/>
  <c r="U50" i="10"/>
  <c r="V50" i="10"/>
  <c r="W50" i="10"/>
  <c r="T51" i="10"/>
  <c r="U51" i="10"/>
  <c r="V51" i="10"/>
  <c r="W51" i="10"/>
  <c r="T52" i="10"/>
  <c r="U52" i="10"/>
  <c r="V52" i="10"/>
  <c r="W52" i="10"/>
  <c r="T53" i="10"/>
  <c r="U53" i="10"/>
  <c r="V53" i="10"/>
  <c r="W53" i="10"/>
  <c r="T54" i="10"/>
  <c r="U54" i="10"/>
  <c r="V54" i="10"/>
  <c r="W54" i="10"/>
  <c r="T55" i="10"/>
  <c r="U55" i="10"/>
  <c r="V55" i="10"/>
  <c r="W55" i="10"/>
  <c r="T56" i="10"/>
  <c r="U56" i="10"/>
  <c r="V56" i="10"/>
  <c r="W56" i="10"/>
  <c r="T57" i="10"/>
  <c r="U57" i="10"/>
  <c r="V57" i="10"/>
  <c r="W57" i="10"/>
  <c r="T58" i="10"/>
  <c r="U58" i="10"/>
  <c r="V58" i="10"/>
  <c r="W58" i="10"/>
  <c r="T59" i="10"/>
  <c r="U59" i="10"/>
  <c r="V59" i="10"/>
  <c r="W59" i="10"/>
  <c r="T60" i="10"/>
  <c r="U60" i="10"/>
  <c r="V60" i="10"/>
  <c r="W60" i="10"/>
  <c r="T61" i="10"/>
  <c r="U61" i="10"/>
  <c r="V61" i="10"/>
  <c r="W61" i="10"/>
  <c r="T62" i="10"/>
  <c r="U62" i="10"/>
  <c r="V62" i="10"/>
  <c r="W62" i="10"/>
  <c r="T63" i="10"/>
  <c r="U63" i="10"/>
  <c r="V63" i="10"/>
  <c r="W63" i="10"/>
  <c r="T64" i="10"/>
  <c r="U64" i="10"/>
  <c r="V64" i="10"/>
  <c r="W64" i="10"/>
  <c r="T65" i="10"/>
  <c r="U65" i="10"/>
  <c r="V65" i="10"/>
  <c r="W65" i="10"/>
  <c r="T66" i="10"/>
  <c r="U66" i="10"/>
  <c r="V66" i="10"/>
  <c r="W66" i="10"/>
  <c r="T67" i="10"/>
  <c r="U67" i="10"/>
  <c r="V67" i="10"/>
  <c r="W67" i="10"/>
  <c r="T68" i="10"/>
  <c r="U68" i="10"/>
  <c r="V68" i="10"/>
  <c r="W68" i="10"/>
  <c r="T69" i="10"/>
  <c r="U69" i="10"/>
  <c r="V69" i="10"/>
  <c r="W69" i="10"/>
  <c r="T70" i="10"/>
  <c r="U70" i="10"/>
  <c r="V70" i="10"/>
  <c r="W70" i="10"/>
  <c r="T71" i="10"/>
  <c r="U71" i="10"/>
  <c r="V71" i="10"/>
  <c r="W71" i="10"/>
  <c r="T72" i="10"/>
  <c r="U72" i="10"/>
  <c r="V72" i="10"/>
  <c r="W72" i="10"/>
  <c r="U3" i="10"/>
  <c r="W3" i="10" s="1"/>
  <c r="T3" i="10"/>
  <c r="V3" i="10" s="1"/>
  <c r="N4" i="10"/>
  <c r="O4" i="10"/>
  <c r="P4" i="10"/>
  <c r="Q4" i="10"/>
  <c r="N5" i="10"/>
  <c r="O5" i="10"/>
  <c r="P5" i="10"/>
  <c r="Q5" i="10"/>
  <c r="N6" i="10"/>
  <c r="O6" i="10"/>
  <c r="P6" i="10"/>
  <c r="Q6" i="10"/>
  <c r="N7" i="10"/>
  <c r="O7" i="10"/>
  <c r="P7" i="10"/>
  <c r="Q7" i="10"/>
  <c r="N8" i="10"/>
  <c r="O8" i="10"/>
  <c r="P8" i="10"/>
  <c r="Q8" i="10"/>
  <c r="N9" i="10"/>
  <c r="O9" i="10"/>
  <c r="P9" i="10"/>
  <c r="Q9" i="10"/>
  <c r="N10" i="10"/>
  <c r="O10" i="10"/>
  <c r="P10" i="10"/>
  <c r="Q10" i="10"/>
  <c r="N11" i="10"/>
  <c r="O11" i="10"/>
  <c r="P11" i="10"/>
  <c r="Q11" i="10"/>
  <c r="N12" i="10"/>
  <c r="O12" i="10"/>
  <c r="P12" i="10"/>
  <c r="Q12" i="10"/>
  <c r="N13" i="10"/>
  <c r="O13" i="10"/>
  <c r="P13" i="10"/>
  <c r="Q13" i="10"/>
  <c r="N14" i="10"/>
  <c r="O14" i="10"/>
  <c r="P14" i="10"/>
  <c r="Q14" i="10"/>
  <c r="N15" i="10"/>
  <c r="O15" i="10"/>
  <c r="P15" i="10"/>
  <c r="Q15" i="10"/>
  <c r="N16" i="10"/>
  <c r="O16" i="10"/>
  <c r="P16" i="10"/>
  <c r="Q16" i="10"/>
  <c r="N17" i="10"/>
  <c r="O17" i="10"/>
  <c r="P17" i="10"/>
  <c r="Q17" i="10"/>
  <c r="N18" i="10"/>
  <c r="O18" i="10"/>
  <c r="P18" i="10"/>
  <c r="Q18" i="10"/>
  <c r="N19" i="10"/>
  <c r="O19" i="10"/>
  <c r="P19" i="10"/>
  <c r="Q19" i="10"/>
  <c r="N20" i="10"/>
  <c r="O20" i="10"/>
  <c r="P20" i="10"/>
  <c r="Q20" i="10"/>
  <c r="N21" i="10"/>
  <c r="O21" i="10"/>
  <c r="P21" i="10"/>
  <c r="Q21" i="10"/>
  <c r="N22" i="10"/>
  <c r="O22" i="10"/>
  <c r="P22" i="10"/>
  <c r="Q22" i="10"/>
  <c r="N23" i="10"/>
  <c r="O23" i="10"/>
  <c r="P23" i="10"/>
  <c r="Q23" i="10"/>
  <c r="N24" i="10"/>
  <c r="O24" i="10"/>
  <c r="P24" i="10"/>
  <c r="Q24" i="10"/>
  <c r="N25" i="10"/>
  <c r="O25" i="10"/>
  <c r="P25" i="10"/>
  <c r="Q25" i="10"/>
  <c r="N26" i="10"/>
  <c r="O26" i="10"/>
  <c r="P26" i="10"/>
  <c r="Q26" i="10"/>
  <c r="N27" i="10"/>
  <c r="O27" i="10"/>
  <c r="P27" i="10"/>
  <c r="Q27" i="10"/>
  <c r="N28" i="10"/>
  <c r="O28" i="10"/>
  <c r="P28" i="10"/>
  <c r="Q28" i="10"/>
  <c r="N29" i="10"/>
  <c r="O29" i="10"/>
  <c r="P29" i="10"/>
  <c r="Q29" i="10"/>
  <c r="N30" i="10"/>
  <c r="O30" i="10"/>
  <c r="P30" i="10"/>
  <c r="Q30" i="10"/>
  <c r="N31" i="10"/>
  <c r="O31" i="10"/>
  <c r="P31" i="10"/>
  <c r="Q31" i="10"/>
  <c r="N32" i="10"/>
  <c r="O32" i="10"/>
  <c r="P32" i="10"/>
  <c r="Q32" i="10"/>
  <c r="N33" i="10"/>
  <c r="O33" i="10"/>
  <c r="P33" i="10"/>
  <c r="Q33" i="10"/>
  <c r="N34" i="10"/>
  <c r="O34" i="10"/>
  <c r="P34" i="10"/>
  <c r="Q34" i="10"/>
  <c r="N35" i="10"/>
  <c r="O35" i="10"/>
  <c r="P35" i="10"/>
  <c r="Q35" i="10"/>
  <c r="N36" i="10"/>
  <c r="O36" i="10"/>
  <c r="P36" i="10"/>
  <c r="Q36" i="10"/>
  <c r="N37" i="10"/>
  <c r="O37" i="10"/>
  <c r="P37" i="10"/>
  <c r="Q37" i="10"/>
  <c r="N38" i="10"/>
  <c r="O38" i="10"/>
  <c r="P38" i="10"/>
  <c r="Q38" i="10"/>
  <c r="N39" i="10"/>
  <c r="O39" i="10"/>
  <c r="P39" i="10"/>
  <c r="Q39" i="10"/>
  <c r="N40" i="10"/>
  <c r="O40" i="10"/>
  <c r="P40" i="10"/>
  <c r="Q40" i="10"/>
  <c r="N41" i="10"/>
  <c r="O41" i="10"/>
  <c r="P41" i="10"/>
  <c r="Q41" i="10"/>
  <c r="N42" i="10"/>
  <c r="O42" i="10"/>
  <c r="P42" i="10"/>
  <c r="Q42" i="10"/>
  <c r="N43" i="10"/>
  <c r="O43" i="10"/>
  <c r="P43" i="10"/>
  <c r="Q43" i="10"/>
  <c r="N44" i="10"/>
  <c r="O44" i="10"/>
  <c r="P44" i="10"/>
  <c r="Q44" i="10"/>
  <c r="N45" i="10"/>
  <c r="O45" i="10"/>
  <c r="P45" i="10"/>
  <c r="Q45" i="10"/>
  <c r="N46" i="10"/>
  <c r="O46" i="10"/>
  <c r="P46" i="10"/>
  <c r="Q46" i="10"/>
  <c r="N47" i="10"/>
  <c r="O47" i="10"/>
  <c r="P47" i="10"/>
  <c r="Q47" i="10"/>
  <c r="N48" i="10"/>
  <c r="O48" i="10"/>
  <c r="P48" i="10"/>
  <c r="Q48" i="10"/>
  <c r="N49" i="10"/>
  <c r="O49" i="10"/>
  <c r="P49" i="10"/>
  <c r="Q49" i="10"/>
  <c r="N50" i="10"/>
  <c r="O50" i="10"/>
  <c r="P50" i="10"/>
  <c r="Q50" i="10"/>
  <c r="N51" i="10"/>
  <c r="O51" i="10"/>
  <c r="P51" i="10"/>
  <c r="Q51" i="10"/>
  <c r="N52" i="10"/>
  <c r="O52" i="10"/>
  <c r="P52" i="10"/>
  <c r="Q52" i="10"/>
  <c r="N53" i="10"/>
  <c r="O53" i="10"/>
  <c r="P53" i="10"/>
  <c r="Q53" i="10"/>
  <c r="N54" i="10"/>
  <c r="O54" i="10"/>
  <c r="P54" i="10"/>
  <c r="Q54" i="10"/>
  <c r="N55" i="10"/>
  <c r="O55" i="10"/>
  <c r="P55" i="10"/>
  <c r="Q55" i="10"/>
  <c r="N56" i="10"/>
  <c r="O56" i="10"/>
  <c r="P56" i="10"/>
  <c r="Q56" i="10"/>
  <c r="N57" i="10"/>
  <c r="O57" i="10"/>
  <c r="P57" i="10"/>
  <c r="Q57" i="10"/>
  <c r="N58" i="10"/>
  <c r="O58" i="10"/>
  <c r="P58" i="10"/>
  <c r="Q58" i="10"/>
  <c r="N59" i="10"/>
  <c r="O59" i="10"/>
  <c r="P59" i="10"/>
  <c r="Q59" i="10"/>
  <c r="N60" i="10"/>
  <c r="O60" i="10"/>
  <c r="P60" i="10"/>
  <c r="Q60" i="10"/>
  <c r="N61" i="10"/>
  <c r="O61" i="10"/>
  <c r="P61" i="10"/>
  <c r="Q61" i="10"/>
  <c r="N62" i="10"/>
  <c r="O62" i="10"/>
  <c r="P62" i="10"/>
  <c r="Q62" i="10"/>
  <c r="N63" i="10"/>
  <c r="O63" i="10"/>
  <c r="P63" i="10"/>
  <c r="Q63" i="10"/>
  <c r="N64" i="10"/>
  <c r="O64" i="10"/>
  <c r="P64" i="10"/>
  <c r="Q64" i="10"/>
  <c r="N65" i="10"/>
  <c r="O65" i="10"/>
  <c r="P65" i="10"/>
  <c r="Q65" i="10"/>
  <c r="N66" i="10"/>
  <c r="O66" i="10"/>
  <c r="P66" i="10"/>
  <c r="Q66" i="10"/>
  <c r="N67" i="10"/>
  <c r="O67" i="10"/>
  <c r="P67" i="10"/>
  <c r="Q67" i="10"/>
  <c r="N68" i="10"/>
  <c r="O68" i="10"/>
  <c r="P68" i="10"/>
  <c r="Q68" i="10"/>
  <c r="N69" i="10"/>
  <c r="O69" i="10"/>
  <c r="P69" i="10"/>
  <c r="Q69" i="10"/>
  <c r="N70" i="10"/>
  <c r="O70" i="10"/>
  <c r="P70" i="10"/>
  <c r="Q70" i="10"/>
  <c r="N71" i="10"/>
  <c r="O71" i="10"/>
  <c r="P71" i="10"/>
  <c r="Q71" i="10"/>
  <c r="N72" i="10"/>
  <c r="O72" i="10"/>
  <c r="P72" i="10"/>
  <c r="Q72" i="10"/>
  <c r="O3" i="10"/>
  <c r="Q3" i="10" s="1"/>
  <c r="N3" i="10"/>
  <c r="P3" i="10" s="1"/>
  <c r="H4" i="10"/>
  <c r="I4" i="10"/>
  <c r="J4" i="10"/>
  <c r="K4" i="10"/>
  <c r="H5" i="10"/>
  <c r="I5" i="10"/>
  <c r="J5" i="10"/>
  <c r="K5" i="10"/>
  <c r="H6" i="10"/>
  <c r="I6" i="10"/>
  <c r="J6" i="10"/>
  <c r="K6" i="10"/>
  <c r="H7" i="10"/>
  <c r="I7" i="10"/>
  <c r="J7" i="10"/>
  <c r="K7" i="10"/>
  <c r="H8" i="10"/>
  <c r="I8" i="10"/>
  <c r="J8" i="10"/>
  <c r="K8" i="10"/>
  <c r="H9" i="10"/>
  <c r="I9" i="10"/>
  <c r="J9" i="10"/>
  <c r="K9" i="10"/>
  <c r="H10" i="10"/>
  <c r="I10" i="10"/>
  <c r="J10" i="10"/>
  <c r="K10" i="10"/>
  <c r="H11" i="10"/>
  <c r="I11" i="10"/>
  <c r="J11" i="10"/>
  <c r="K11" i="10"/>
  <c r="H12" i="10"/>
  <c r="I12" i="10"/>
  <c r="J12" i="10"/>
  <c r="K12" i="10"/>
  <c r="H13" i="10"/>
  <c r="I13" i="10"/>
  <c r="J13" i="10"/>
  <c r="K13" i="10"/>
  <c r="H14" i="10"/>
  <c r="I14" i="10"/>
  <c r="J14" i="10"/>
  <c r="K14" i="10"/>
  <c r="H15" i="10"/>
  <c r="I15" i="10"/>
  <c r="J15" i="10"/>
  <c r="K15" i="10"/>
  <c r="H16" i="10"/>
  <c r="I16" i="10"/>
  <c r="J16" i="10"/>
  <c r="K16" i="10"/>
  <c r="H17" i="10"/>
  <c r="I17" i="10"/>
  <c r="J17" i="10"/>
  <c r="K17" i="10"/>
  <c r="H18" i="10"/>
  <c r="I18" i="10"/>
  <c r="J18" i="10"/>
  <c r="K18" i="10"/>
  <c r="H19" i="10"/>
  <c r="I19" i="10"/>
  <c r="J19" i="10"/>
  <c r="K19" i="10"/>
  <c r="H20" i="10"/>
  <c r="I20" i="10"/>
  <c r="J20" i="10"/>
  <c r="K20" i="10"/>
  <c r="H21" i="10"/>
  <c r="I21" i="10"/>
  <c r="J21" i="10"/>
  <c r="K21" i="10"/>
  <c r="H22" i="10"/>
  <c r="I22" i="10"/>
  <c r="J22" i="10"/>
  <c r="K22" i="10"/>
  <c r="H23" i="10"/>
  <c r="I23" i="10"/>
  <c r="J23" i="10"/>
  <c r="K23" i="10"/>
  <c r="H24" i="10"/>
  <c r="I24" i="10"/>
  <c r="J24" i="10"/>
  <c r="K24" i="10"/>
  <c r="H25" i="10"/>
  <c r="I25" i="10"/>
  <c r="J25" i="10"/>
  <c r="K25" i="10"/>
  <c r="H26" i="10"/>
  <c r="I26" i="10"/>
  <c r="J26" i="10"/>
  <c r="K26" i="10"/>
  <c r="H27" i="10"/>
  <c r="I27" i="10"/>
  <c r="J27" i="10"/>
  <c r="K27" i="10"/>
  <c r="H28" i="10"/>
  <c r="I28" i="10"/>
  <c r="J28" i="10"/>
  <c r="K28" i="10"/>
  <c r="H29" i="10"/>
  <c r="I29" i="10"/>
  <c r="J29" i="10"/>
  <c r="K29" i="10"/>
  <c r="H30" i="10"/>
  <c r="I30" i="10"/>
  <c r="J30" i="10"/>
  <c r="K30" i="10"/>
  <c r="H31" i="10"/>
  <c r="I31" i="10"/>
  <c r="J31" i="10"/>
  <c r="K31" i="10"/>
  <c r="H32" i="10"/>
  <c r="I32" i="10"/>
  <c r="J32" i="10"/>
  <c r="K32" i="10"/>
  <c r="H33" i="10"/>
  <c r="I33" i="10"/>
  <c r="J33" i="10"/>
  <c r="K33" i="10"/>
  <c r="H34" i="10"/>
  <c r="I34" i="10"/>
  <c r="J34" i="10"/>
  <c r="K34" i="10"/>
  <c r="H35" i="10"/>
  <c r="I35" i="10"/>
  <c r="J35" i="10"/>
  <c r="K35" i="10"/>
  <c r="H36" i="10"/>
  <c r="I36" i="10"/>
  <c r="J36" i="10"/>
  <c r="K36" i="10"/>
  <c r="H37" i="10"/>
  <c r="I37" i="10"/>
  <c r="J37" i="10"/>
  <c r="K37" i="10"/>
  <c r="H38" i="10"/>
  <c r="I38" i="10"/>
  <c r="J38" i="10"/>
  <c r="K38" i="10"/>
  <c r="H39" i="10"/>
  <c r="I39" i="10"/>
  <c r="J39" i="10"/>
  <c r="K39" i="10"/>
  <c r="H40" i="10"/>
  <c r="I40" i="10"/>
  <c r="J40" i="10"/>
  <c r="K40" i="10"/>
  <c r="H41" i="10"/>
  <c r="I41" i="10"/>
  <c r="J41" i="10"/>
  <c r="K41" i="10"/>
  <c r="H42" i="10"/>
  <c r="I42" i="10"/>
  <c r="J42" i="10"/>
  <c r="K42" i="10"/>
  <c r="H43" i="10"/>
  <c r="I43" i="10"/>
  <c r="J43" i="10"/>
  <c r="K43" i="10"/>
  <c r="H44" i="10"/>
  <c r="I44" i="10"/>
  <c r="J44" i="10"/>
  <c r="K44" i="10"/>
  <c r="H45" i="10"/>
  <c r="I45" i="10"/>
  <c r="J45" i="10"/>
  <c r="K45" i="10"/>
  <c r="H46" i="10"/>
  <c r="I46" i="10"/>
  <c r="J46" i="10"/>
  <c r="K46" i="10"/>
  <c r="H47" i="10"/>
  <c r="I47" i="10"/>
  <c r="J47" i="10"/>
  <c r="K47" i="10"/>
  <c r="H48" i="10"/>
  <c r="I48" i="10"/>
  <c r="J48" i="10"/>
  <c r="K48" i="10"/>
  <c r="H49" i="10"/>
  <c r="I49" i="10"/>
  <c r="J49" i="10"/>
  <c r="K49" i="10"/>
  <c r="H50" i="10"/>
  <c r="I50" i="10"/>
  <c r="J50" i="10"/>
  <c r="K50" i="10"/>
  <c r="H51" i="10"/>
  <c r="I51" i="10"/>
  <c r="J51" i="10"/>
  <c r="K51" i="10"/>
  <c r="H52" i="10"/>
  <c r="I52" i="10"/>
  <c r="J52" i="10"/>
  <c r="K52" i="10"/>
  <c r="H53" i="10"/>
  <c r="I53" i="10"/>
  <c r="J53" i="10"/>
  <c r="K53" i="10"/>
  <c r="H54" i="10"/>
  <c r="I54" i="10"/>
  <c r="J54" i="10"/>
  <c r="K54" i="10"/>
  <c r="H55" i="10"/>
  <c r="I55" i="10"/>
  <c r="J55" i="10"/>
  <c r="K55" i="10"/>
  <c r="H56" i="10"/>
  <c r="I56" i="10"/>
  <c r="J56" i="10"/>
  <c r="K56" i="10"/>
  <c r="H57" i="10"/>
  <c r="I57" i="10"/>
  <c r="J57" i="10"/>
  <c r="K57" i="10"/>
  <c r="H58" i="10"/>
  <c r="I58" i="10"/>
  <c r="J58" i="10"/>
  <c r="K58" i="10"/>
  <c r="H59" i="10"/>
  <c r="I59" i="10"/>
  <c r="J59" i="10"/>
  <c r="K59" i="10"/>
  <c r="H60" i="10"/>
  <c r="I60" i="10"/>
  <c r="J60" i="10"/>
  <c r="K60" i="10"/>
  <c r="H61" i="10"/>
  <c r="I61" i="10"/>
  <c r="J61" i="10"/>
  <c r="K61" i="10"/>
  <c r="H62" i="10"/>
  <c r="I62" i="10"/>
  <c r="J62" i="10"/>
  <c r="K62" i="10"/>
  <c r="H63" i="10"/>
  <c r="I63" i="10"/>
  <c r="J63" i="10"/>
  <c r="K63" i="10"/>
  <c r="H64" i="10"/>
  <c r="I64" i="10"/>
  <c r="J64" i="10"/>
  <c r="K64" i="10"/>
  <c r="H65" i="10"/>
  <c r="I65" i="10"/>
  <c r="J65" i="10"/>
  <c r="K65" i="10"/>
  <c r="H66" i="10"/>
  <c r="I66" i="10"/>
  <c r="J66" i="10"/>
  <c r="K66" i="10"/>
  <c r="H67" i="10"/>
  <c r="I67" i="10"/>
  <c r="J67" i="10"/>
  <c r="K67" i="10"/>
  <c r="H68" i="10"/>
  <c r="I68" i="10"/>
  <c r="J68" i="10"/>
  <c r="K68" i="10"/>
  <c r="H69" i="10"/>
  <c r="I69" i="10"/>
  <c r="J69" i="10"/>
  <c r="K69" i="10"/>
  <c r="H70" i="10"/>
  <c r="I70" i="10"/>
  <c r="J70" i="10"/>
  <c r="K70" i="10"/>
  <c r="H71" i="10"/>
  <c r="I71" i="10"/>
  <c r="J71" i="10"/>
  <c r="K71" i="10"/>
  <c r="H72" i="10"/>
  <c r="I72" i="10"/>
  <c r="J72" i="10"/>
  <c r="K72" i="10"/>
  <c r="I3" i="10"/>
  <c r="K3" i="10" s="1"/>
  <c r="H3" i="10"/>
  <c r="J3" i="10" s="1"/>
  <c r="B4" i="10"/>
  <c r="C4" i="10"/>
  <c r="D4" i="10"/>
  <c r="E4" i="10"/>
  <c r="B5" i="10"/>
  <c r="C5" i="10"/>
  <c r="D5" i="10"/>
  <c r="E5" i="10"/>
  <c r="B6" i="10"/>
  <c r="C6" i="10"/>
  <c r="D6" i="10"/>
  <c r="E6" i="10"/>
  <c r="B7" i="10"/>
  <c r="C7" i="10"/>
  <c r="D7" i="10"/>
  <c r="E7" i="10"/>
  <c r="B8" i="10"/>
  <c r="C8" i="10"/>
  <c r="D8" i="10"/>
  <c r="E8" i="10"/>
  <c r="B9" i="10"/>
  <c r="C9" i="10"/>
  <c r="D9" i="10"/>
  <c r="E9" i="10"/>
  <c r="B10" i="10"/>
  <c r="C10" i="10"/>
  <c r="D10" i="10"/>
  <c r="E10" i="10"/>
  <c r="B11" i="10"/>
  <c r="C11" i="10"/>
  <c r="D11" i="10"/>
  <c r="E11" i="10"/>
  <c r="B12" i="10"/>
  <c r="C12" i="10"/>
  <c r="D12" i="10"/>
  <c r="E12" i="10"/>
  <c r="B13" i="10"/>
  <c r="C13" i="10"/>
  <c r="D13" i="10"/>
  <c r="E13" i="10"/>
  <c r="B14" i="10"/>
  <c r="C14" i="10"/>
  <c r="D14" i="10"/>
  <c r="E14" i="10"/>
  <c r="B15" i="10"/>
  <c r="C15" i="10"/>
  <c r="D15" i="10"/>
  <c r="E15" i="10"/>
  <c r="B16" i="10"/>
  <c r="C16" i="10"/>
  <c r="D16" i="10"/>
  <c r="E16" i="10"/>
  <c r="B17" i="10"/>
  <c r="C17" i="10"/>
  <c r="D17" i="10"/>
  <c r="E17" i="10"/>
  <c r="B18" i="10"/>
  <c r="C18" i="10"/>
  <c r="D18" i="10"/>
  <c r="E18" i="10"/>
  <c r="B19" i="10"/>
  <c r="C19" i="10"/>
  <c r="D19" i="10"/>
  <c r="E19" i="10"/>
  <c r="B20" i="10"/>
  <c r="C20" i="10"/>
  <c r="D20" i="10"/>
  <c r="E20" i="10"/>
  <c r="B21" i="10"/>
  <c r="C21" i="10"/>
  <c r="D21" i="10"/>
  <c r="E21" i="10"/>
  <c r="B22" i="10"/>
  <c r="C22" i="10"/>
  <c r="D22" i="10"/>
  <c r="E22" i="10"/>
  <c r="B23" i="10"/>
  <c r="C23" i="10"/>
  <c r="D23" i="10"/>
  <c r="E23" i="10"/>
  <c r="B24" i="10"/>
  <c r="C24" i="10"/>
  <c r="D24" i="10"/>
  <c r="E24" i="10"/>
  <c r="B25" i="10"/>
  <c r="C25" i="10"/>
  <c r="D25" i="10"/>
  <c r="E25" i="10"/>
  <c r="B26" i="10"/>
  <c r="C26" i="10"/>
  <c r="D26" i="10"/>
  <c r="E26" i="10"/>
  <c r="B27" i="10"/>
  <c r="C27" i="10"/>
  <c r="D27" i="10"/>
  <c r="E27" i="10"/>
  <c r="B28" i="10"/>
  <c r="C28" i="10"/>
  <c r="D28" i="10"/>
  <c r="E28" i="10"/>
  <c r="B29" i="10"/>
  <c r="C29" i="10"/>
  <c r="D29" i="10"/>
  <c r="E29" i="10"/>
  <c r="B30" i="10"/>
  <c r="C30" i="10"/>
  <c r="D30" i="10"/>
  <c r="E30" i="10"/>
  <c r="B31" i="10"/>
  <c r="C31" i="10"/>
  <c r="D31" i="10"/>
  <c r="E31" i="10"/>
  <c r="B32" i="10"/>
  <c r="C32" i="10"/>
  <c r="D32" i="10"/>
  <c r="E32" i="10"/>
  <c r="B33" i="10"/>
  <c r="C33" i="10"/>
  <c r="D33" i="10"/>
  <c r="E33" i="10"/>
  <c r="B34" i="10"/>
  <c r="C34" i="10"/>
  <c r="D34" i="10"/>
  <c r="E34" i="10"/>
  <c r="B35" i="10"/>
  <c r="C35" i="10"/>
  <c r="D35" i="10"/>
  <c r="E35" i="10"/>
  <c r="B36" i="10"/>
  <c r="C36" i="10"/>
  <c r="D36" i="10"/>
  <c r="E36" i="10"/>
  <c r="B37" i="10"/>
  <c r="C37" i="10"/>
  <c r="D37" i="10"/>
  <c r="E37" i="10"/>
  <c r="B38" i="10"/>
  <c r="C38" i="10"/>
  <c r="D38" i="10"/>
  <c r="E38" i="10"/>
  <c r="B39" i="10"/>
  <c r="C39" i="10"/>
  <c r="D39" i="10"/>
  <c r="E39" i="10"/>
  <c r="B40" i="10"/>
  <c r="C40" i="10"/>
  <c r="D40" i="10"/>
  <c r="E40" i="10"/>
  <c r="B41" i="10"/>
  <c r="C41" i="10"/>
  <c r="D41" i="10"/>
  <c r="E41" i="10"/>
  <c r="B42" i="10"/>
  <c r="C42" i="10"/>
  <c r="D42" i="10"/>
  <c r="E42" i="10"/>
  <c r="B43" i="10"/>
  <c r="C43" i="10"/>
  <c r="D43" i="10"/>
  <c r="E43" i="10"/>
  <c r="B44" i="10"/>
  <c r="C44" i="10"/>
  <c r="D44" i="10"/>
  <c r="E44" i="10"/>
  <c r="B45" i="10"/>
  <c r="C45" i="10"/>
  <c r="D45" i="10"/>
  <c r="E45" i="10"/>
  <c r="B46" i="10"/>
  <c r="C46" i="10"/>
  <c r="D46" i="10"/>
  <c r="E46" i="10"/>
  <c r="B47" i="10"/>
  <c r="C47" i="10"/>
  <c r="D47" i="10"/>
  <c r="E47" i="10"/>
  <c r="B48" i="10"/>
  <c r="C48" i="10"/>
  <c r="D48" i="10"/>
  <c r="E48" i="10"/>
  <c r="B49" i="10"/>
  <c r="C49" i="10"/>
  <c r="D49" i="10"/>
  <c r="E49" i="10"/>
  <c r="B50" i="10"/>
  <c r="C50" i="10"/>
  <c r="D50" i="10"/>
  <c r="E50" i="10"/>
  <c r="B51" i="10"/>
  <c r="C51" i="10"/>
  <c r="D51" i="10"/>
  <c r="E51" i="10"/>
  <c r="B52" i="10"/>
  <c r="C52" i="10"/>
  <c r="D52" i="10"/>
  <c r="E52" i="10"/>
  <c r="B53" i="10"/>
  <c r="C53" i="10"/>
  <c r="D53" i="10"/>
  <c r="E53" i="10"/>
  <c r="B54" i="10"/>
  <c r="C54" i="10"/>
  <c r="D54" i="10"/>
  <c r="E54" i="10"/>
  <c r="B55" i="10"/>
  <c r="C55" i="10"/>
  <c r="D55" i="10"/>
  <c r="E55" i="10"/>
  <c r="B56" i="10"/>
  <c r="C56" i="10"/>
  <c r="D56" i="10"/>
  <c r="E56" i="10"/>
  <c r="B57" i="10"/>
  <c r="C57" i="10"/>
  <c r="D57" i="10"/>
  <c r="E57" i="10"/>
  <c r="B58" i="10"/>
  <c r="C58" i="10"/>
  <c r="D58" i="10"/>
  <c r="E58" i="10"/>
  <c r="B59" i="10"/>
  <c r="C59" i="10"/>
  <c r="D59" i="10"/>
  <c r="E59" i="10"/>
  <c r="B60" i="10"/>
  <c r="C60" i="10"/>
  <c r="D60" i="10"/>
  <c r="E60" i="10"/>
  <c r="B61" i="10"/>
  <c r="C61" i="10"/>
  <c r="D61" i="10"/>
  <c r="E61" i="10"/>
  <c r="B62" i="10"/>
  <c r="C62" i="10"/>
  <c r="D62" i="10"/>
  <c r="E62" i="10"/>
  <c r="B63" i="10"/>
  <c r="C63" i="10"/>
  <c r="D63" i="10"/>
  <c r="E63" i="10"/>
  <c r="B64" i="10"/>
  <c r="C64" i="10"/>
  <c r="D64" i="10"/>
  <c r="E64" i="10"/>
  <c r="B65" i="10"/>
  <c r="C65" i="10"/>
  <c r="D65" i="10"/>
  <c r="E65" i="10"/>
  <c r="B66" i="10"/>
  <c r="C66" i="10"/>
  <c r="D66" i="10"/>
  <c r="E66" i="10"/>
  <c r="B67" i="10"/>
  <c r="C67" i="10"/>
  <c r="D67" i="10"/>
  <c r="E67" i="10"/>
  <c r="B68" i="10"/>
  <c r="C68" i="10"/>
  <c r="D68" i="10"/>
  <c r="E68" i="10"/>
  <c r="B69" i="10"/>
  <c r="C69" i="10"/>
  <c r="D69" i="10"/>
  <c r="E69" i="10"/>
  <c r="B70" i="10"/>
  <c r="C70" i="10"/>
  <c r="D70" i="10"/>
  <c r="E70" i="10"/>
  <c r="B71" i="10"/>
  <c r="C71" i="10"/>
  <c r="D71" i="10"/>
  <c r="E71" i="10"/>
  <c r="B72" i="10"/>
  <c r="C72" i="10"/>
  <c r="D72" i="10"/>
  <c r="E72" i="10"/>
  <c r="C3" i="10"/>
  <c r="E3" i="10" s="1"/>
  <c r="B3" i="10"/>
  <c r="D3" i="10" s="1"/>
  <c r="I3" i="9"/>
  <c r="J3" i="9"/>
  <c r="K3" i="9"/>
  <c r="L3" i="9"/>
  <c r="I4" i="9"/>
  <c r="J4" i="9"/>
  <c r="K4" i="9"/>
  <c r="L4" i="9"/>
  <c r="I5" i="9"/>
  <c r="J5" i="9"/>
  <c r="K5" i="9"/>
  <c r="L5" i="9"/>
  <c r="I6" i="9"/>
  <c r="J6" i="9"/>
  <c r="K6" i="9"/>
  <c r="L6" i="9"/>
  <c r="I7" i="9"/>
  <c r="J7" i="9"/>
  <c r="K7" i="9"/>
  <c r="L7" i="9"/>
  <c r="I8" i="9"/>
  <c r="J8" i="9"/>
  <c r="K8" i="9"/>
  <c r="L8" i="9"/>
  <c r="I9" i="9"/>
  <c r="J9" i="9"/>
  <c r="K9" i="9"/>
  <c r="L9" i="9"/>
  <c r="I10" i="9"/>
  <c r="J10" i="9"/>
  <c r="K10" i="9"/>
  <c r="L10" i="9"/>
  <c r="I11" i="9"/>
  <c r="J11" i="9"/>
  <c r="K11" i="9"/>
  <c r="L11" i="9"/>
  <c r="I12" i="9"/>
  <c r="J12" i="9"/>
  <c r="K12" i="9"/>
  <c r="L12" i="9"/>
  <c r="I13" i="9"/>
  <c r="J13" i="9"/>
  <c r="K13" i="9"/>
  <c r="L13" i="9"/>
  <c r="I14" i="9"/>
  <c r="J14" i="9"/>
  <c r="K14" i="9"/>
  <c r="L14" i="9"/>
  <c r="I15" i="9"/>
  <c r="J15" i="9"/>
  <c r="K15" i="9"/>
  <c r="L15" i="9"/>
  <c r="I16" i="9"/>
  <c r="J16" i="9"/>
  <c r="K16" i="9"/>
  <c r="L16" i="9"/>
  <c r="I17" i="9"/>
  <c r="J17" i="9"/>
  <c r="K17" i="9"/>
  <c r="L17" i="9"/>
  <c r="I18" i="9"/>
  <c r="J18" i="9"/>
  <c r="K18" i="9"/>
  <c r="L18" i="9"/>
  <c r="I19" i="9"/>
  <c r="J19" i="9"/>
  <c r="K19" i="9"/>
  <c r="L19" i="9"/>
  <c r="I20" i="9"/>
  <c r="J20" i="9"/>
  <c r="K20" i="9"/>
  <c r="L20" i="9"/>
  <c r="I21" i="9"/>
  <c r="J21" i="9"/>
  <c r="K21" i="9"/>
  <c r="L21" i="9"/>
  <c r="I22" i="9"/>
  <c r="J22" i="9"/>
  <c r="K22" i="9"/>
  <c r="L22" i="9"/>
  <c r="I23" i="9"/>
  <c r="J23" i="9"/>
  <c r="K23" i="9"/>
  <c r="L23" i="9"/>
  <c r="I24" i="9"/>
  <c r="J24" i="9"/>
  <c r="K24" i="9"/>
  <c r="L24" i="9"/>
  <c r="I25" i="9"/>
  <c r="J25" i="9"/>
  <c r="K25" i="9"/>
  <c r="L25" i="9"/>
  <c r="I26" i="9"/>
  <c r="J26" i="9"/>
  <c r="K26" i="9"/>
  <c r="L26" i="9"/>
  <c r="I27" i="9"/>
  <c r="J27" i="9"/>
  <c r="K27" i="9"/>
  <c r="L27" i="9"/>
  <c r="I28" i="9"/>
  <c r="J28" i="9"/>
  <c r="K28" i="9"/>
  <c r="L28" i="9"/>
  <c r="I29" i="9"/>
  <c r="J29" i="9"/>
  <c r="K29" i="9"/>
  <c r="L29" i="9"/>
  <c r="I30" i="9"/>
  <c r="J30" i="9"/>
  <c r="K30" i="9"/>
  <c r="L30" i="9"/>
  <c r="I31" i="9"/>
  <c r="J31" i="9"/>
  <c r="K31" i="9"/>
  <c r="L31" i="9"/>
  <c r="I32" i="9"/>
  <c r="J32" i="9"/>
  <c r="K32" i="9"/>
  <c r="L32" i="9"/>
  <c r="I33" i="9"/>
  <c r="J33" i="9"/>
  <c r="K33" i="9"/>
  <c r="L33" i="9"/>
  <c r="I34" i="9"/>
  <c r="J34" i="9"/>
  <c r="K34" i="9"/>
  <c r="L34" i="9"/>
  <c r="I35" i="9"/>
  <c r="J35" i="9"/>
  <c r="K35" i="9"/>
  <c r="L35" i="9"/>
  <c r="I36" i="9"/>
  <c r="J36" i="9"/>
  <c r="K36" i="9"/>
  <c r="L36" i="9"/>
  <c r="I37" i="9"/>
  <c r="J37" i="9"/>
  <c r="K37" i="9"/>
  <c r="L37" i="9"/>
  <c r="I38" i="9"/>
  <c r="J38" i="9"/>
  <c r="K38" i="9"/>
  <c r="L38" i="9"/>
  <c r="I39" i="9"/>
  <c r="J39" i="9"/>
  <c r="K39" i="9"/>
  <c r="L39" i="9"/>
  <c r="I40" i="9"/>
  <c r="J40" i="9"/>
  <c r="K40" i="9"/>
  <c r="L40" i="9"/>
  <c r="I41" i="9"/>
  <c r="J41" i="9"/>
  <c r="K41" i="9"/>
  <c r="L41" i="9"/>
  <c r="I42" i="9"/>
  <c r="J42" i="9"/>
  <c r="K42" i="9"/>
  <c r="L42" i="9"/>
  <c r="I43" i="9"/>
  <c r="J43" i="9"/>
  <c r="K43" i="9"/>
  <c r="L43" i="9"/>
  <c r="I44" i="9"/>
  <c r="J44" i="9"/>
  <c r="K44" i="9"/>
  <c r="L44" i="9"/>
  <c r="I45" i="9"/>
  <c r="J45" i="9"/>
  <c r="K45" i="9"/>
  <c r="L45" i="9"/>
  <c r="I46" i="9"/>
  <c r="J46" i="9"/>
  <c r="K46" i="9"/>
  <c r="L46" i="9"/>
  <c r="I47" i="9"/>
  <c r="J47" i="9"/>
  <c r="K47" i="9"/>
  <c r="L47" i="9"/>
  <c r="I48" i="9"/>
  <c r="J48" i="9"/>
  <c r="K48" i="9"/>
  <c r="L48" i="9"/>
  <c r="I49" i="9"/>
  <c r="J49" i="9"/>
  <c r="K49" i="9"/>
  <c r="L49" i="9"/>
  <c r="I50" i="9"/>
  <c r="J50" i="9"/>
  <c r="K50" i="9"/>
  <c r="L50" i="9"/>
  <c r="I51" i="9"/>
  <c r="J51" i="9"/>
  <c r="K51" i="9"/>
  <c r="L51" i="9"/>
  <c r="I52" i="9"/>
  <c r="J52" i="9"/>
  <c r="K52" i="9"/>
  <c r="L52" i="9"/>
  <c r="I53" i="9"/>
  <c r="J53" i="9"/>
  <c r="K53" i="9"/>
  <c r="L53" i="9"/>
  <c r="I54" i="9"/>
  <c r="J54" i="9"/>
  <c r="K54" i="9"/>
  <c r="L54" i="9"/>
  <c r="I55" i="9"/>
  <c r="J55" i="9"/>
  <c r="K55" i="9"/>
  <c r="L55" i="9"/>
  <c r="I56" i="9"/>
  <c r="J56" i="9"/>
  <c r="K56" i="9"/>
  <c r="L56" i="9"/>
  <c r="I57" i="9"/>
  <c r="J57" i="9"/>
  <c r="K57" i="9"/>
  <c r="L57" i="9"/>
  <c r="I58" i="9"/>
  <c r="J58" i="9"/>
  <c r="K58" i="9"/>
  <c r="L58" i="9"/>
  <c r="I59" i="9"/>
  <c r="J59" i="9"/>
  <c r="K59" i="9"/>
  <c r="L59" i="9"/>
  <c r="I60" i="9"/>
  <c r="J60" i="9"/>
  <c r="K60" i="9"/>
  <c r="L60" i="9"/>
  <c r="I61" i="9"/>
  <c r="J61" i="9"/>
  <c r="K61" i="9"/>
  <c r="L61" i="9"/>
  <c r="I62" i="9"/>
  <c r="J62" i="9"/>
  <c r="K62" i="9"/>
  <c r="L62" i="9"/>
  <c r="I63" i="9"/>
  <c r="J63" i="9"/>
  <c r="K63" i="9"/>
  <c r="L63" i="9"/>
  <c r="I64" i="9"/>
  <c r="J64" i="9"/>
  <c r="K64" i="9"/>
  <c r="L64" i="9"/>
  <c r="I65" i="9"/>
  <c r="J65" i="9"/>
  <c r="K65" i="9"/>
  <c r="L65" i="9"/>
  <c r="I66" i="9"/>
  <c r="J66" i="9"/>
  <c r="K66" i="9"/>
  <c r="L66" i="9"/>
  <c r="I67" i="9"/>
  <c r="J67" i="9"/>
  <c r="K67" i="9"/>
  <c r="L67" i="9"/>
  <c r="I68" i="9"/>
  <c r="J68" i="9"/>
  <c r="K68" i="9"/>
  <c r="L68" i="9"/>
  <c r="I69" i="9"/>
  <c r="J69" i="9"/>
  <c r="K69" i="9"/>
  <c r="L69" i="9"/>
  <c r="I70" i="9"/>
  <c r="J70" i="9"/>
  <c r="K70" i="9"/>
  <c r="L70" i="9"/>
  <c r="I71" i="9"/>
  <c r="J71" i="9"/>
  <c r="K71" i="9"/>
  <c r="L71" i="9"/>
  <c r="L2" i="9"/>
  <c r="K2" i="9"/>
  <c r="J2" i="9"/>
  <c r="I2" i="9"/>
  <c r="D3" i="9"/>
  <c r="E3" i="9"/>
  <c r="D4" i="9"/>
  <c r="E4" i="9"/>
  <c r="D5" i="9"/>
  <c r="E5" i="9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2" i="9"/>
  <c r="E2" i="9"/>
  <c r="C2" i="9"/>
  <c r="C16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2" i="9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2" i="8"/>
  <c r="H3" i="2"/>
  <c r="G19" i="8" a="1"/>
  <c r="G19" i="8" s="1"/>
  <c r="G8" i="8"/>
  <c r="G7" i="8"/>
  <c r="G6" i="8"/>
  <c r="G5" i="8"/>
  <c r="G4" i="8"/>
  <c r="G3" i="8"/>
  <c r="G2" i="8"/>
  <c r="B2" i="8"/>
  <c r="C2" i="8" s="1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" i="8"/>
  <c r="D67" i="1" l="1"/>
  <c r="D78" i="1"/>
  <c r="D72" i="1"/>
  <c r="D66" i="1"/>
  <c r="D60" i="1"/>
  <c r="D54" i="1"/>
  <c r="D48" i="1"/>
  <c r="D42" i="1"/>
  <c r="D36" i="1"/>
  <c r="D61" i="1"/>
  <c r="D43" i="1"/>
  <c r="D77" i="1"/>
  <c r="D71" i="1"/>
  <c r="D65" i="1"/>
  <c r="D59" i="1"/>
  <c r="D53" i="1"/>
  <c r="D47" i="1"/>
  <c r="D41" i="1"/>
  <c r="D73" i="1"/>
  <c r="D49" i="1"/>
  <c r="D76" i="1"/>
  <c r="D70" i="1"/>
  <c r="D64" i="1"/>
  <c r="D58" i="1"/>
  <c r="D52" i="1"/>
  <c r="D46" i="1"/>
  <c r="D40" i="1"/>
  <c r="D75" i="1"/>
  <c r="D69" i="1"/>
  <c r="D63" i="1"/>
  <c r="D57" i="1"/>
  <c r="D51" i="1"/>
  <c r="E21" i="2"/>
  <c r="E15" i="2"/>
  <c r="E32" i="2"/>
  <c r="E26" i="2"/>
  <c r="E20" i="2"/>
  <c r="E14" i="2"/>
  <c r="E8" i="2"/>
  <c r="E9" i="2"/>
  <c r="E3" i="2"/>
  <c r="E31" i="2"/>
  <c r="E25" i="2"/>
  <c r="E19" i="2"/>
  <c r="E13" i="2"/>
  <c r="E7" i="2"/>
  <c r="E33" i="2"/>
  <c r="E36" i="2"/>
  <c r="E30" i="2"/>
  <c r="E24" i="2"/>
  <c r="E18" i="2"/>
  <c r="E12" i="2"/>
  <c r="E6" i="2"/>
  <c r="E27" i="2"/>
  <c r="E35" i="2"/>
  <c r="E29" i="2"/>
  <c r="E23" i="2"/>
  <c r="E17" i="2"/>
  <c r="E11" i="2"/>
  <c r="E5" i="2"/>
  <c r="E34" i="2"/>
  <c r="E28" i="2"/>
  <c r="E22" i="2"/>
  <c r="E16" i="2"/>
  <c r="E10" i="2"/>
  <c r="J10" i="2"/>
  <c r="J28" i="2"/>
  <c r="J23" i="2"/>
  <c r="J35" i="2"/>
  <c r="J16" i="2"/>
  <c r="J11" i="2"/>
  <c r="J29" i="2"/>
  <c r="J22" i="2"/>
  <c r="J17" i="2"/>
  <c r="J4" i="2"/>
  <c r="J34" i="2"/>
  <c r="J5" i="2"/>
  <c r="J6" i="2"/>
  <c r="J33" i="2"/>
  <c r="J27" i="2"/>
  <c r="J21" i="2"/>
  <c r="J15" i="2"/>
  <c r="J9" i="2"/>
  <c r="J32" i="2"/>
  <c r="J26" i="2"/>
  <c r="J20" i="2"/>
  <c r="J14" i="2"/>
  <c r="J8" i="2"/>
  <c r="J31" i="2"/>
  <c r="J25" i="2"/>
  <c r="J19" i="2"/>
  <c r="J13" i="2"/>
  <c r="J7" i="2"/>
  <c r="J36" i="2"/>
  <c r="J30" i="2"/>
  <c r="J24" i="2"/>
  <c r="J18" i="2"/>
  <c r="J12" i="2"/>
  <c r="E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2" i="1"/>
  <c r="E3" i="1"/>
  <c r="E4" i="1"/>
  <c r="E5" i="1"/>
  <c r="E6" i="1"/>
  <c r="E7" i="1"/>
  <c r="E8" i="1"/>
  <c r="E9" i="1"/>
  <c r="E10" i="1"/>
  <c r="E11" i="1"/>
  <c r="E1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2" i="8"/>
  <c r="C3" i="8"/>
  <c r="E3" i="8"/>
  <c r="C35" i="8"/>
  <c r="E35" i="8"/>
  <c r="C34" i="8"/>
  <c r="E34" i="8"/>
  <c r="C33" i="8"/>
  <c r="E33" i="8"/>
  <c r="C32" i="8"/>
  <c r="E32" i="8"/>
  <c r="C31" i="8"/>
  <c r="E31" i="8"/>
  <c r="C30" i="8"/>
  <c r="E30" i="8"/>
  <c r="C29" i="8"/>
  <c r="E29" i="8"/>
  <c r="C28" i="8"/>
  <c r="E28" i="8"/>
  <c r="C27" i="8"/>
  <c r="E27" i="8"/>
  <c r="C26" i="8"/>
  <c r="E26" i="8"/>
  <c r="C25" i="8"/>
  <c r="E25" i="8"/>
  <c r="C24" i="8"/>
  <c r="E24" i="8"/>
  <c r="C23" i="8"/>
  <c r="E23" i="8"/>
  <c r="C22" i="8"/>
  <c r="E22" i="8"/>
  <c r="C21" i="8"/>
  <c r="E21" i="8"/>
  <c r="C20" i="8"/>
  <c r="E20" i="8"/>
  <c r="C19" i="8"/>
  <c r="E19" i="8"/>
  <c r="C18" i="8"/>
  <c r="E18" i="8"/>
  <c r="C17" i="8"/>
  <c r="E17" i="8"/>
  <c r="C16" i="8"/>
  <c r="E16" i="8"/>
  <c r="C15" i="8"/>
  <c r="E15" i="8"/>
  <c r="C14" i="8"/>
  <c r="E14" i="8"/>
  <c r="C13" i="8"/>
  <c r="E13" i="8"/>
  <c r="C12" i="8"/>
  <c r="E12" i="8"/>
  <c r="C11" i="8"/>
  <c r="E11" i="8"/>
  <c r="C10" i="8"/>
  <c r="E10" i="8"/>
  <c r="C9" i="8"/>
  <c r="E9" i="8"/>
  <c r="C8" i="8"/>
  <c r="E8" i="8"/>
  <c r="C7" i="8"/>
  <c r="E7" i="8"/>
  <c r="C6" i="8"/>
  <c r="E6" i="8"/>
  <c r="C5" i="8"/>
  <c r="E5" i="8"/>
  <c r="C4" i="8"/>
  <c r="E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tc={BB6C8C93-26BC-4E29-AFEE-E5C3DF951307}</author>
  </authors>
  <commentList>
    <comment ref="L18" authorId="0" shapeId="0" xr:uid="{BB6C8C93-26BC-4E29-AFEE-E5C3DF951307}">
      <text>
        <t>[Threaded comment]
Your version of Excel allows you to read this threaded comment; however, any edits to it will get removed if the file is opened in a newer version of Excel. Learn more: https://go.microsoft.com/fwlink/?linkid=870924
Comment:
    Updated to Always blank on Jan 27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<sst xmlns="http://schemas.openxmlformats.org/spreadsheetml/2006/main" count="1541" uniqueCount="623">
  <si>
    <t>SLFTTP</t>
  </si>
  <si>
    <t>Orea
Transaction.TransactionType</t>
  </si>
  <si>
    <t>SLFLNT</t>
  </si>
  <si>
    <t>01</t>
  </si>
  <si>
    <t>"SALE" =&gt; "01", if there is no employee discount  i.e., When SLFPVC is not EMP</t>
  </si>
  <si>
    <t xml:space="preserve">If Customer ID doesnot exists and if SLFTTP is 01 / Sale </t>
  </si>
  <si>
    <t>REGULAR SALES</t>
  </si>
  <si>
    <t>02</t>
  </si>
  <si>
    <t xml:space="preserve">If Customer ID exists and if SLFTTP is 01 / Sale </t>
  </si>
  <si>
    <t>REGULAR TRADE</t>
  </si>
  <si>
    <t>43</t>
  </si>
  <si>
    <t>"AR_PAYMENT" =&gt; "43",</t>
  </si>
  <si>
    <t>AR PAYMENT</t>
  </si>
  <si>
    <t>45</t>
  </si>
  <si>
    <t>If Tenders.Method = "GIFTCARD"</t>
  </si>
  <si>
    <t>GIFT CARD SALES</t>
  </si>
  <si>
    <t>04</t>
  </si>
  <si>
    <r>
      <rPr>
        <sz val="11"/>
        <color rgb="FF000000"/>
        <rFont val="Aptos Narrow"/>
        <scheme val="minor"/>
      </rPr>
      <t xml:space="preserve">"SALE" =&gt; "04", if there </t>
    </r>
    <r>
      <rPr>
        <b/>
        <sz val="11"/>
        <color rgb="FF000000"/>
        <rFont val="Aptos Narrow"/>
        <scheme val="minor"/>
      </rPr>
      <t>is</t>
    </r>
    <r>
      <rPr>
        <sz val="11"/>
        <color rgb="FF000000"/>
        <rFont val="Aptos Narrow"/>
        <scheme val="minor"/>
      </rPr>
      <t xml:space="preserve"> employee discount i.e., When PVCode is EMP</t>
    </r>
  </si>
  <si>
    <t>EMPLOYEE SALES</t>
  </si>
  <si>
    <t>11</t>
  </si>
  <si>
    <t>"RETURN" =&gt; "02",</t>
  </si>
  <si>
    <t>REGULAR RETURN</t>
  </si>
  <si>
    <t>12</t>
  </si>
  <si>
    <t>TRADE RETURN</t>
  </si>
  <si>
    <t>RETURN IN GIFT CARD</t>
  </si>
  <si>
    <t>87</t>
  </si>
  <si>
    <t>CURRENT TRANSACTION VOID</t>
  </si>
  <si>
    <t>88</t>
  </si>
  <si>
    <t>POST VOID TRANSACTION</t>
  </si>
  <si>
    <t>TAX</t>
  </si>
  <si>
    <t>01/02
11/12</t>
  </si>
  <si>
    <t>XR</t>
  </si>
  <si>
    <t>BC PST</t>
  </si>
  <si>
    <t>XG</t>
  </si>
  <si>
    <t>GOODS AND SERVICES TAX</t>
  </si>
  <si>
    <t>XN</t>
  </si>
  <si>
    <t>HST NEW BRUNSWICK</t>
  </si>
  <si>
    <t>XF</t>
  </si>
  <si>
    <t>HST NEWFOUNDLAND</t>
  </si>
  <si>
    <t>XV</t>
  </si>
  <si>
    <t>HST NOVA SCOTIA</t>
  </si>
  <si>
    <t>XH</t>
  </si>
  <si>
    <t>HST ONTARIO</t>
  </si>
  <si>
    <t>XI</t>
  </si>
  <si>
    <t>HST PARTIAL ONTARIO</t>
  </si>
  <si>
    <t>XP</t>
  </si>
  <si>
    <t>HST PRINCE EDWARD ISLAND</t>
  </si>
  <si>
    <t>XM</t>
  </si>
  <si>
    <t>MANITOBA PST</t>
  </si>
  <si>
    <t>XQ</t>
  </si>
  <si>
    <t>QUEBEC Prov Tax</t>
  </si>
  <si>
    <t>XS</t>
  </si>
  <si>
    <t>SASK PST</t>
  </si>
  <si>
    <t>Price Vehicle Code</t>
  </si>
  <si>
    <t xml:space="preserve">Price Vehicle Reference    </t>
  </si>
  <si>
    <t>EMP</t>
  </si>
  <si>
    <t>E99 where 99 is the discount %</t>
  </si>
  <si>
    <t>employee price</t>
  </si>
  <si>
    <t>FLR</t>
  </si>
  <si>
    <t>6-digits flyer event #</t>
  </si>
  <si>
    <t>flyer price</t>
  </si>
  <si>
    <t>MAN</t>
  </si>
  <si>
    <t>D99 where 99 is the discount %</t>
  </si>
  <si>
    <t xml:space="preserve">manual discount </t>
  </si>
  <si>
    <t>OVD</t>
  </si>
  <si>
    <t>OVR</t>
  </si>
  <si>
    <t>override price</t>
  </si>
  <si>
    <t>PBK</t>
  </si>
  <si>
    <t xml:space="preserve">XXX </t>
  </si>
  <si>
    <t>price book price</t>
  </si>
  <si>
    <t>REG</t>
  </si>
  <si>
    <t>ORG</t>
  </si>
  <si>
    <t xml:space="preserve">regular retail price </t>
  </si>
  <si>
    <t>VOL</t>
  </si>
  <si>
    <t>volume price</t>
  </si>
  <si>
    <t xml:space="preserve">CLR </t>
  </si>
  <si>
    <t>6-digits clearance event #</t>
  </si>
  <si>
    <t>Field</t>
  </si>
  <si>
    <t>Description</t>
  </si>
  <si>
    <t>length</t>
  </si>
  <si>
    <t xml:space="preserve">SKU line Orea Mapping </t>
  </si>
  <si>
    <t>SKU Line TTRee Output Logic</t>
  </si>
  <si>
    <t xml:space="preserve">Tax Line Orea Mapping </t>
  </si>
  <si>
    <t>Tax line TTRee logic</t>
  </si>
  <si>
    <t>Trans Type</t>
  </si>
  <si>
    <t xml:space="preserve">Transaction.transactiontype </t>
  </si>
  <si>
    <t xml:space="preserve">Transaction.transactiontype 
Combined with Mapping Table </t>
  </si>
  <si>
    <t>Same as SKU</t>
  </si>
  <si>
    <t>Line Type</t>
  </si>
  <si>
    <t xml:space="preserve">Transaction.transactiontype 
</t>
  </si>
  <si>
    <t>N/A</t>
  </si>
  <si>
    <t>Calculculated based on Requirement mapping table (Tax Authority Sheet)
Combination of column D &amp; E = SLFLNT</t>
  </si>
  <si>
    <t>SLFTDT</t>
  </si>
  <si>
    <t>Trans Date</t>
  </si>
  <si>
    <t xml:space="preserve">
occurredAt
(Provide a list of stores and MMS regions) </t>
  </si>
  <si>
    <t>Calculated Field based MMS Region
occurredAt": "2026-01-13T17:00:53Z",
YYMMDD
"West - 8
Rest (ON&amp;QC) -5"</t>
  </si>
  <si>
    <t>SLFTTM</t>
  </si>
  <si>
    <t>Trans Time</t>
  </si>
  <si>
    <t>Calculated Field based MMS Region
occurredAt": "2026-01-13T17:00:53Z",
"West - 8
Rest (ON&amp;QC) -5"</t>
  </si>
  <si>
    <t>SLFCLK</t>
  </si>
  <si>
    <t>Store Clerk</t>
  </si>
  <si>
    <t>workstation.registerId</t>
  </si>
  <si>
    <t xml:space="preserve">5-digits number with Preceding zeros
eg Register ID = 10 then send "00010"
</t>
  </si>
  <si>
    <t>SLFREG</t>
  </si>
  <si>
    <t>Register ID</t>
  </si>
  <si>
    <t xml:space="preserve">3-digits number with Preceding zeros
eg Register ID = 10 then send "010"
</t>
  </si>
  <si>
    <t>SLFTTX</t>
  </si>
  <si>
    <t>Trans Number</t>
  </si>
  <si>
    <t>Logic implemented on Tactill 
Mapped to: sequenceNumber</t>
  </si>
  <si>
    <t>Mapping</t>
  </si>
  <si>
    <t>SLFTSQ</t>
  </si>
  <si>
    <t>Trans Seq</t>
  </si>
  <si>
    <t xml:space="preserve">
Implemented in TTRee to represent the line items being sent </t>
  </si>
  <si>
    <t>SLFSKU</t>
  </si>
  <si>
    <t>SKU Number</t>
  </si>
  <si>
    <t>Item.sku</t>
  </si>
  <si>
    <t>Always 9 Zeros</t>
  </si>
  <si>
    <t>SLFQTY</t>
  </si>
  <si>
    <t>Quantity</t>
  </si>
  <si>
    <t>Item.Quantity.value</t>
  </si>
  <si>
    <t>"Total quantity sold per SKU or Total quantity retrun per SKU
Mapping it from quantity.value
9 digits with preceding zeros and multiplied by 100</t>
  </si>
  <si>
    <t>Always  '000000100'</t>
  </si>
  <si>
    <t>SLFQTN</t>
  </si>
  <si>
    <t>Negative Sign</t>
  </si>
  <si>
    <t>Calculated field
For Sale always blank
Return "-"</t>
  </si>
  <si>
    <t>Always Blank</t>
  </si>
  <si>
    <t>SLFORG</t>
  </si>
  <si>
    <t>Original Price</t>
  </si>
  <si>
    <t xml:space="preserve"> </t>
  </si>
  <si>
    <t>Item.Pricing.OriginalUnitPrice</t>
  </si>
  <si>
    <t>9-digits number with preceding 0s without decimal point
Item.Pricing.OriginalUnitPrice</t>
  </si>
  <si>
    <t>Always "000000000"</t>
  </si>
  <si>
    <t>SLFORN</t>
  </si>
  <si>
    <t>always blank</t>
  </si>
  <si>
    <t>SLFADC</t>
  </si>
  <si>
    <t>Ad Code</t>
  </si>
  <si>
    <t xml:space="preserve">#### when the POS price not = regular retail
otherwise set to '0000'
Calculated field
i.e, When Orae PVCode = Reg then 4 Zeros if not send 4 #'s
</t>
  </si>
  <si>
    <t>Always "0000"</t>
  </si>
  <si>
    <t>SLFADP</t>
  </si>
  <si>
    <t>Ad Price</t>
  </si>
  <si>
    <t>Item.Pricing.UnitPrice</t>
  </si>
  <si>
    <t>Calculated Field
When PVCode is REG Or MAN then send 9 Zeros 
If not 
9-digits number without decimal point
Mapping with Preceding Zeros</t>
  </si>
  <si>
    <t>Always "00000000"</t>
  </si>
  <si>
    <t>SLFADN</t>
  </si>
  <si>
    <t>SLFOVR</t>
  </si>
  <si>
    <t>Override Price</t>
  </si>
  <si>
    <r>
      <rPr>
        <b/>
        <sz val="11"/>
        <color rgb="FFFF0000"/>
        <rFont val="Aptos Narrow"/>
        <scheme val="minor"/>
      </rPr>
      <t xml:space="preserve">
</t>
    </r>
    <r>
      <rPr>
        <sz val="11"/>
        <color rgb="FFFF0000"/>
        <rFont val="Aptos Narrow"/>
        <scheme val="minor"/>
      </rPr>
      <t>Item.Pricing.priceoverride</t>
    </r>
  </si>
  <si>
    <t>Calculated 
If the override price exists then use Orae Mapping if not send 9 Zeros</t>
  </si>
  <si>
    <t>SLFOVN</t>
  </si>
  <si>
    <t>SLFDST</t>
  </si>
  <si>
    <t>Discount Type</t>
  </si>
  <si>
    <t>SLFDSA</t>
  </si>
  <si>
    <t>Discount Amount</t>
  </si>
  <si>
    <t>always set to 9 Zeros</t>
  </si>
  <si>
    <t>SLFDSN</t>
  </si>
  <si>
    <t>SLFSEL</t>
  </si>
  <si>
    <t>Item Sell Price</t>
  </si>
  <si>
    <t>Item.Pricing.Unitprice</t>
  </si>
  <si>
    <t>Calculated field (Provide Logic)
Take the mapping price if override price = zero; otherwise use override price</t>
  </si>
  <si>
    <t>Tax.amount.value</t>
  </si>
  <si>
    <t xml:space="preserve">Calculated 
Total Tax Amount </t>
  </si>
  <si>
    <t>SLFSLN</t>
  </si>
  <si>
    <t>SLFEXT</t>
  </si>
  <si>
    <t>Extended Value</t>
  </si>
  <si>
    <t>Calculated Field
Item.quanitity.value * Item.Pricing.UnitPrice
If ovreride exists then
"Calculated Field
Item.quanitity.value * Item.Pricing.PriceOverride</t>
  </si>
  <si>
    <t>SLFEXN</t>
  </si>
  <si>
    <t>Calculated field
"blank means positive
set to - for return"</t>
  </si>
  <si>
    <t>Calculated field</t>
  </si>
  <si>
    <t>SLFTX1</t>
  </si>
  <si>
    <t>Charged TAX1 Y/N</t>
  </si>
  <si>
    <t>Calculated field
Default to N
Y for SKY with PST charged</t>
  </si>
  <si>
    <t>Always "N"</t>
  </si>
  <si>
    <t>SLFTX2</t>
  </si>
  <si>
    <t>Charged TAX2 Y/N</t>
  </si>
  <si>
    <t>Calculated field
Default to N
Y for SKU with GST</t>
  </si>
  <si>
    <t>SLFTX3</t>
  </si>
  <si>
    <t>Charged TAX3 Y/N</t>
  </si>
  <si>
    <t>Calculated field
Default to N
Y for SKU with HST</t>
  </si>
  <si>
    <t>SLFTX4</t>
  </si>
  <si>
    <t>Charged TAX4 Y/N</t>
  </si>
  <si>
    <t>Calculated field
Default to N
Y for SKU with Partial HST</t>
  </si>
  <si>
    <t>SLFRFC</t>
  </si>
  <si>
    <t>Reference Code</t>
  </si>
  <si>
    <t>SLFRFD</t>
  </si>
  <si>
    <t>Reference Desc</t>
  </si>
  <si>
    <t xml:space="preserve">always blank </t>
  </si>
  <si>
    <t>SLFUPC</t>
  </si>
  <si>
    <t>UPC Code</t>
  </si>
  <si>
    <t>Med</t>
  </si>
  <si>
    <t>item.gtin</t>
  </si>
  <si>
    <t>item.gtin
If no value, set it to 13 Zeros</t>
  </si>
  <si>
    <t>Always 13 Zeros</t>
  </si>
  <si>
    <t>SLFSPS</t>
  </si>
  <si>
    <t>Sales Person</t>
  </si>
  <si>
    <t>Critical</t>
  </si>
  <si>
    <t xml:space="preserve">SCO - Workstation.RegisterID
ACO- actor.cashier.loginid </t>
  </si>
  <si>
    <r>
      <rPr>
        <sz val="11"/>
        <color rgb="FFFF0000"/>
        <rFont val="Aptos Narrow"/>
        <scheme val="minor"/>
      </rPr>
      <t xml:space="preserve">Calculated 
If register Starts with 8 then SCO if not its ACO 
SCO = use register ID ampping -  prefix Zeros upto 5 digits
ACO = Mapping
</t>
    </r>
    <r>
      <rPr>
        <strike/>
        <sz val="11"/>
        <color rgb="FFFF0000"/>
        <rFont val="Aptos Narrow"/>
        <scheme val="minor"/>
      </rPr>
      <t xml:space="preserve">default 5 0s
</t>
    </r>
  </si>
  <si>
    <t>SLFSTS</t>
  </si>
  <si>
    <t>Status</t>
  </si>
  <si>
    <t>Zip Code</t>
  </si>
  <si>
    <t>High</t>
  </si>
  <si>
    <t xml:space="preserve">
transaction.items[i].attributes["x-epp-coverage-identifier"]
</t>
  </si>
  <si>
    <t>Mappiing</t>
  </si>
  <si>
    <r>
      <rPr>
        <b/>
        <strike/>
        <sz val="11"/>
        <color rgb="FFFF0000"/>
        <rFont val="Aptos Narrow"/>
        <scheme val="minor"/>
      </rPr>
      <t xml:space="preserve">Always 10 Zeros
</t>
    </r>
    <r>
      <rPr>
        <b/>
        <sz val="11"/>
        <color rgb="FFFF0000"/>
        <rFont val="Aptos Narrow"/>
        <scheme val="minor"/>
      </rPr>
      <t>9 spaced + 0 i.e, "         0"</t>
    </r>
  </si>
  <si>
    <t>SLFCNM</t>
  </si>
  <si>
    <t>Customer Name</t>
  </si>
  <si>
    <t>SLFNUM</t>
  </si>
  <si>
    <t>Customer Number</t>
  </si>
  <si>
    <t>Customer.customerIdToken</t>
  </si>
  <si>
    <t>Mapping
default to blank</t>
  </si>
  <si>
    <t>SLFRSN</t>
  </si>
  <si>
    <t>Reason Code</t>
  </si>
  <si>
    <t>???</t>
  </si>
  <si>
    <r>
      <rPr>
        <sz val="11"/>
        <color rgb="FFFF0000"/>
        <rFont val="Aptos Narrow"/>
        <scheme val="minor"/>
      </rPr>
      <t xml:space="preserve">return reason code (RRT0) + Mapping 
price override reason code (POV0) + Mapping 
</t>
    </r>
    <r>
      <rPr>
        <strike/>
        <sz val="11"/>
        <color rgb="FFFF0000"/>
        <rFont val="Aptos Narrow"/>
        <scheme val="minor"/>
      </rPr>
      <t xml:space="preserve">post voided reason code (VOD0)
</t>
    </r>
    <r>
      <rPr>
        <sz val="11"/>
        <color rgb="FFFF0000"/>
        <rFont val="Aptos Narrow"/>
        <scheme val="minor"/>
      </rPr>
      <t>left justified"
Default to Blank</t>
    </r>
  </si>
  <si>
    <t>SLFOSP</t>
  </si>
  <si>
    <t>Original Salesperson</t>
  </si>
  <si>
    <t>always 5 zeros</t>
  </si>
  <si>
    <t>SLFOST</t>
  </si>
  <si>
    <t>Original Store</t>
  </si>
  <si>
    <t>always '5 Zeros</t>
  </si>
  <si>
    <t>SLFGDA</t>
  </si>
  <si>
    <t>Grp Disc Amount</t>
  </si>
  <si>
    <t>always 9 Zeros</t>
  </si>
  <si>
    <t>SLFGDS</t>
  </si>
  <si>
    <t>Grp Disc Sign</t>
  </si>
  <si>
    <t>always blanks</t>
  </si>
  <si>
    <t>SLFGDR</t>
  </si>
  <si>
    <t>Grp Disc Reason</t>
  </si>
  <si>
    <t>always 2 Zeros</t>
  </si>
  <si>
    <t>SLFRDR</t>
  </si>
  <si>
    <t>Reg Disc Reason</t>
  </si>
  <si>
    <t xml:space="preserve">Calculated field 
set to 'I2' when PVC = 'MAN'; else set to '00' </t>
  </si>
  <si>
    <t>Always 2 Zeros</t>
  </si>
  <si>
    <t>SLFSCN</t>
  </si>
  <si>
    <t>Item Scanned Y/N</t>
  </si>
  <si>
    <t>Calculated field
If item.gitin value is greater than 0 then Y if not N</t>
  </si>
  <si>
    <t>SLFACD</t>
  </si>
  <si>
    <t>Tax Auth Code</t>
  </si>
  <si>
    <t>Taxes.Jurisdiction.region</t>
  </si>
  <si>
    <r>
      <rPr>
        <b/>
        <sz val="11"/>
        <color rgb="FFFF0000"/>
        <rFont val="Aptos Narrow"/>
        <scheme val="minor"/>
      </rPr>
      <t>F</t>
    </r>
    <r>
      <rPr>
        <b/>
        <strike/>
        <sz val="11"/>
        <color rgb="FFFF0000"/>
        <rFont val="Aptos Narrow"/>
        <scheme val="minor"/>
      </rPr>
      <t xml:space="preserve">ind mapping in Tax Authority Sheet 
If tax line type = column C then send associated column b 
</t>
    </r>
    <r>
      <rPr>
        <b/>
        <sz val="11"/>
        <color rgb="FFFF0000"/>
        <rFont val="Aptos Narrow"/>
        <scheme val="minor"/>
      </rPr>
      <t>Mapping</t>
    </r>
  </si>
  <si>
    <t>SLFTCD</t>
  </si>
  <si>
    <t>Tax Rate Code</t>
  </si>
  <si>
    <t>Taxes.taxcode</t>
  </si>
  <si>
    <r>
      <rPr>
        <b/>
        <strike/>
        <sz val="11"/>
        <color rgb="FFFF0000"/>
        <rFont val="Aptos Narrow"/>
        <scheme val="minor"/>
      </rPr>
      <t xml:space="preserve">"Find mapping in Tax Authority Sheet 
If tax line type = column C then send associated column d"
</t>
    </r>
    <r>
      <rPr>
        <b/>
        <sz val="11"/>
        <color rgb="FFFF0000"/>
        <rFont val="Aptos Narrow"/>
        <scheme val="minor"/>
      </rPr>
      <t>Mapping</t>
    </r>
  </si>
  <si>
    <t>SLFTE1</t>
  </si>
  <si>
    <t>Tax Exempt ID 1</t>
  </si>
  <si>
    <t>SLFTE2</t>
  </si>
  <si>
    <t>Tax Exempt ID 2</t>
  </si>
  <si>
    <t>SLFTEN</t>
  </si>
  <si>
    <t>Tax Exemption Name</t>
  </si>
  <si>
    <t>SLFPVC</t>
  </si>
  <si>
    <t>LineItem.pricing.priceVehicle</t>
  </si>
  <si>
    <t>Calculated field 
"
The value for this field will be a combination of 2 values separated with :. Ex:
""VOL:VOL""
""REG:ORG""
""OVD:OVR""
And left hand side will go into - SLFPVC"</t>
  </si>
  <si>
    <t>SLFREF</t>
  </si>
  <si>
    <t>Price Vehicle Reference</t>
  </si>
  <si>
    <t>Calculated field 
"LineItem.pricing.priceVehicle
The value for this field will be a combination of 2 values separated with :. Ex:
""VOL:VOL""
""REG:ORG""
""OVD:OVR""
right hand side will go into - SLFREF"</t>
  </si>
  <si>
    <t>SLFORT</t>
  </si>
  <si>
    <t>Original Retail</t>
  </si>
  <si>
    <t>Alwyays 9 0s</t>
  </si>
  <si>
    <t>SLFOPN</t>
  </si>
  <si>
    <t>SLFOTS</t>
  </si>
  <si>
    <t>Original TX Store</t>
  </si>
  <si>
    <t>Store.StoreID</t>
  </si>
  <si>
    <t>Calculated field 
If SLFTTP = 01 then set to 5 Zeros
If SLFTTP = 11 then mapping</t>
  </si>
  <si>
    <t>Always 5 zeros</t>
  </si>
  <si>
    <t>SLFOTD</t>
  </si>
  <si>
    <t>Original TX Date</t>
  </si>
  <si>
    <t>OccuredAt</t>
  </si>
  <si>
    <t>Calculated field 
If SLFTTP = 01 then set to 6 Zeros
If SLFTTP = 11 then mapping</t>
  </si>
  <si>
    <t>Always 6 zeros</t>
  </si>
  <si>
    <t>SLFOTR</t>
  </si>
  <si>
    <t>Original TX Register</t>
  </si>
  <si>
    <t>Calculated field 
If SLFTTP = 01 then set to 3 Zeros
If SLFTTP = 11 then mapping</t>
  </si>
  <si>
    <t>Always 3 zeros</t>
  </si>
  <si>
    <t>SLFOTT</t>
  </si>
  <si>
    <t>Original TX TTX#</t>
  </si>
  <si>
    <t>SourceTransactionID</t>
  </si>
  <si>
    <t>SLFPLC</t>
  </si>
  <si>
    <t>Polled Store</t>
  </si>
  <si>
    <t>BusinessContext.Store.StoreID</t>
  </si>
  <si>
    <t>SLFPCN</t>
  </si>
  <si>
    <t>Poll Cen</t>
  </si>
  <si>
    <t>Always 1</t>
  </si>
  <si>
    <t>SLFPDT</t>
  </si>
  <si>
    <t>Poll Date</t>
  </si>
  <si>
    <t>businessDay</t>
  </si>
  <si>
    <t>Mapping (YYMMDD)</t>
  </si>
  <si>
    <t>SLFCCN</t>
  </si>
  <si>
    <t>Create Cen</t>
  </si>
  <si>
    <t>SLFCDT</t>
  </si>
  <si>
    <t>Create Date</t>
  </si>
  <si>
    <t>SLFCTM</t>
  </si>
  <si>
    <t>Create Time</t>
  </si>
  <si>
    <t>SLFORD</t>
  </si>
  <si>
    <t>Order Number</t>
  </si>
  <si>
    <t>SLFSIL</t>
  </si>
  <si>
    <t>Smart Location</t>
  </si>
  <si>
    <t>always 0</t>
  </si>
  <si>
    <t>ASFPRO</t>
  </si>
  <si>
    <t>Project Number</t>
  </si>
  <si>
    <t>ASFCST</t>
  </si>
  <si>
    <t>Original Cost</t>
  </si>
  <si>
    <t>ASFSST</t>
  </si>
  <si>
    <t>Sales Store</t>
  </si>
  <si>
    <t>ASFIST</t>
  </si>
  <si>
    <t>Inv. Store</t>
  </si>
  <si>
    <t>ASFSTY</t>
  </si>
  <si>
    <t>Sales Type</t>
  </si>
  <si>
    <t>ASFISP</t>
  </si>
  <si>
    <t>Inside Sls Person</t>
  </si>
  <si>
    <t>ASFOSP</t>
  </si>
  <si>
    <t>Outside Sls Person</t>
  </si>
  <si>
    <t>ASFOTX</t>
  </si>
  <si>
    <t>Original Trans#</t>
  </si>
  <si>
    <t>ASFMBT</t>
  </si>
  <si>
    <t>Customer Type</t>
  </si>
  <si>
    <t>SLFEML</t>
  </si>
  <si>
    <t>eReceipt email</t>
  </si>
  <si>
    <t>SLFECN</t>
  </si>
  <si>
    <t>Employee Card #</t>
  </si>
  <si>
    <t>jan 22</t>
  </si>
  <si>
    <t xml:space="preserve">PPR Jan 23 - Multi Products </t>
  </si>
  <si>
    <t>Jan 26 Multiple SKU</t>
  </si>
  <si>
    <t>Priority</t>
  </si>
  <si>
    <t>TTress</t>
  </si>
  <si>
    <t>Fixes Needed</t>
  </si>
  <si>
    <t xml:space="preserve">Tender line Orea Mapping </t>
  </si>
  <si>
    <t>Tender Line TTRee Logic</t>
  </si>
  <si>
    <t>TNFTTP</t>
  </si>
  <si>
    <t>Transaction Type</t>
  </si>
  <si>
    <t>Same as SLFTTP</t>
  </si>
  <si>
    <t>TNFTDT</t>
  </si>
  <si>
    <t>Transaction Date</t>
  </si>
  <si>
    <t>260122</t>
  </si>
  <si>
    <t>TNFTTM</t>
  </si>
  <si>
    <t>Transaction Time</t>
  </si>
  <si>
    <t>125002</t>
  </si>
  <si>
    <t>075002</t>
  </si>
  <si>
    <t>Calculated Field based MMS Region
occurredAt": "2026-01-13T17:00:53Z",
HHMMSS
"West - 8
Rest (ON&amp;QC) -5"</t>
  </si>
  <si>
    <t>TNFCLK</t>
  </si>
  <si>
    <t>Clerk</t>
  </si>
  <si>
    <t>00081</t>
  </si>
  <si>
    <t>TNFREG</t>
  </si>
  <si>
    <t>081</t>
  </si>
  <si>
    <t>TNFTTX</t>
  </si>
  <si>
    <t>Transaction Number</t>
  </si>
  <si>
    <t>00129</t>
  </si>
  <si>
    <t>TNFTSQ</t>
  </si>
  <si>
    <t>Transaction Seq</t>
  </si>
  <si>
    <t>00003</t>
  </si>
  <si>
    <t>TNFFCD</t>
  </si>
  <si>
    <t>Fund Code</t>
  </si>
  <si>
    <t>VI</t>
  </si>
  <si>
    <t>tenders.card.scheme</t>
  </si>
  <si>
    <t>Mapping combined with fundcode table</t>
  </si>
  <si>
    <t>TNFAMT</t>
  </si>
  <si>
    <t>Amount</t>
  </si>
  <si>
    <t>00000000506</t>
  </si>
  <si>
    <t>tender.amount.value</t>
  </si>
  <si>
    <t>TNFAMN</t>
  </si>
  <si>
    <t>Blank</t>
  </si>
  <si>
    <t>Calculated 
Sales = Always Blank
Returns = "-"</t>
  </si>
  <si>
    <t>TNFCCD</t>
  </si>
  <si>
    <t>Credit Card</t>
  </si>
  <si>
    <t>VISA3332</t>
  </si>
  <si>
    <t>************3332</t>
  </si>
  <si>
    <t xml:space="preserve">tenders.card.last 4
</t>
  </si>
  <si>
    <t>Calculated 
need to apply prefix of 12 *s  to Mapping</t>
  </si>
  <si>
    <t>TNFEXP</t>
  </si>
  <si>
    <t>Card Exp. Date</t>
  </si>
  <si>
    <t>0000</t>
  </si>
  <si>
    <t>Always 4 Zeros</t>
  </si>
  <si>
    <t>TNFAUT</t>
  </si>
  <si>
    <t>Auth Number</t>
  </si>
  <si>
    <t>055794</t>
  </si>
  <si>
    <t xml:space="preserve">Tenders.Card.AuthCode
</t>
  </si>
  <si>
    <t xml:space="preserve">Mapping 
For Flexity - Send only last 6 digits </t>
  </si>
  <si>
    <t>TNFRFC</t>
  </si>
  <si>
    <t>T</t>
  </si>
  <si>
    <t>Always blank</t>
  </si>
  <si>
    <t>TNFRDS</t>
  </si>
  <si>
    <t>CREDIT</t>
  </si>
  <si>
    <t>Always Blank for Debit,credit and Flexiti and gift card Redemption</t>
  </si>
  <si>
    <t>TNFMBR</t>
  </si>
  <si>
    <t>Customer/Mbr</t>
  </si>
  <si>
    <t>00000000</t>
  </si>
  <si>
    <t xml:space="preserve">Always blank </t>
  </si>
  <si>
    <t>TNFSTS</t>
  </si>
  <si>
    <t xml:space="preserve">Status - A=ACTIVE; D=DELE  </t>
  </si>
  <si>
    <t>TNFESI</t>
  </si>
  <si>
    <t>Employee Sale ID</t>
  </si>
  <si>
    <t>Calculated field 
set to '#####' for all employee sale i.e.TNFTTP = '04'
Default to Blank</t>
  </si>
  <si>
    <t>TNFZIP</t>
  </si>
  <si>
    <t>Postal Code</t>
  </si>
  <si>
    <t>TNFMSR</t>
  </si>
  <si>
    <t>Mag Stripe Flag</t>
  </si>
  <si>
    <t>t</t>
  </si>
  <si>
    <t>ORAE.Transaction.Tenders[n].card.emv.tags.magStrip</t>
  </si>
  <si>
    <t>TNFEML</t>
  </si>
  <si>
    <t>TNFHSH</t>
  </si>
  <si>
    <t>Payment Hash Value</t>
  </si>
  <si>
    <t xml:space="preserve">Blank </t>
  </si>
  <si>
    <t>TNFPLC</t>
  </si>
  <si>
    <t>83010</t>
  </si>
  <si>
    <t>TNFPCN</t>
  </si>
  <si>
    <t>1</t>
  </si>
  <si>
    <t>TNFPDT</t>
  </si>
  <si>
    <t>TNFCCN</t>
  </si>
  <si>
    <t>TNFCDT</t>
  </si>
  <si>
    <t>TNFCTM</t>
  </si>
  <si>
    <t>75002</t>
  </si>
  <si>
    <t>Calculated Field based MMS Region
occurredAt": "2026-01-13T17:00:53Z",
"West - 8
Rest (ON&amp;QC) -5"
HHMMSS</t>
  </si>
  <si>
    <t>ATFSST</t>
  </si>
  <si>
    <t>0</t>
  </si>
  <si>
    <t>ATFIST</t>
  </si>
  <si>
    <t>ATFOTX</t>
  </si>
  <si>
    <t>ATFMBT</t>
  </si>
  <si>
    <t>ATFORD</t>
  </si>
  <si>
    <t>ATFPRO</t>
  </si>
  <si>
    <t>TNFTTP: "01",</t>
  </si>
  <si>
    <t xml:space="preserve">      "TNFTDT": "260123",</t>
  </si>
  <si>
    <t xml:space="preserve">      "TNFTTM": "154417",</t>
  </si>
  <si>
    <t xml:space="preserve">      "TNFCLK": "00085",</t>
  </si>
  <si>
    <t xml:space="preserve">      "TNFREG": "085",</t>
  </si>
  <si>
    <t xml:space="preserve">      "TNFTTX": "00531",</t>
  </si>
  <si>
    <t xml:space="preserve">      "TNFTSQ": "00005",</t>
  </si>
  <si>
    <t xml:space="preserve">      "TNFFCD": "VI",</t>
  </si>
  <si>
    <t xml:space="preserve">      "TNFAMT": "00000002586",</t>
  </si>
  <si>
    <t xml:space="preserve">      "TNFAMN": "",</t>
  </si>
  <si>
    <t xml:space="preserve">      "TNFCCD": "***************4903",</t>
  </si>
  <si>
    <t xml:space="preserve">      "TNFEXP": "0000",</t>
  </si>
  <si>
    <t xml:space="preserve">      "TNFAUT": "066851",</t>
  </si>
  <si>
    <t xml:space="preserve">      "TNFRFC": "",</t>
  </si>
  <si>
    <t xml:space="preserve">      "TNFRDS": "",</t>
  </si>
  <si>
    <t xml:space="preserve">      "TNFMBR": "",</t>
  </si>
  <si>
    <t xml:space="preserve">      "TNFSTS": " ",</t>
  </si>
  <si>
    <t xml:space="preserve">      "TNFESI": "",</t>
  </si>
  <si>
    <t xml:space="preserve">      "TNFZIP": "",</t>
  </si>
  <si>
    <t xml:space="preserve">      "TNFMSR": "S",</t>
  </si>
  <si>
    <t xml:space="preserve">      "TNFEML": "",</t>
  </si>
  <si>
    <t xml:space="preserve">      "TNFHSH": "",</t>
  </si>
  <si>
    <t xml:space="preserve">      "TNFPLC": 55010,</t>
  </si>
  <si>
    <t xml:space="preserve">      "TNFPCN": 1,</t>
  </si>
  <si>
    <t xml:space="preserve">      "TNFPDT": 260123,</t>
  </si>
  <si>
    <t xml:space="preserve">      "TNFCCN": 1,</t>
  </si>
  <si>
    <t xml:space="preserve">      "TNFCDT": 260123,</t>
  </si>
  <si>
    <t xml:space="preserve">      "TNFCTM": 154417,</t>
  </si>
  <si>
    <t xml:space="preserve">      "ATFSST": 0,</t>
  </si>
  <si>
    <t xml:space="preserve">      "ATFIST": 0,</t>
  </si>
  <si>
    <t xml:space="preserve">      "ATFOTX": "",</t>
  </si>
  <si>
    <t xml:space="preserve">      "ATFMBT": " ",</t>
  </si>
  <si>
    <t xml:space="preserve">      "ATFORD": "",</t>
  </si>
  <si>
    <t xml:space="preserve">      "ATFPRO": ""</t>
  </si>
  <si>
    <t xml:space="preserve">      "SLFTTP": "01",</t>
  </si>
  <si>
    <t xml:space="preserve">      "SLFLNT": "01",</t>
  </si>
  <si>
    <t xml:space="preserve">      "SLFTDT": "260123",</t>
  </si>
  <si>
    <t xml:space="preserve">      "SLFTTM": "154417",</t>
  </si>
  <si>
    <t xml:space="preserve">      "SLFCLK": "00085",</t>
  </si>
  <si>
    <t xml:space="preserve">      "SLFREG": "085",</t>
  </si>
  <si>
    <t xml:space="preserve">      "SLFTTX": "00531",</t>
  </si>
  <si>
    <t xml:space="preserve">      "SLFTSQ": "00001",</t>
  </si>
  <si>
    <t xml:space="preserve">      "SLFTSQ": "00002",</t>
  </si>
  <si>
    <t xml:space="preserve">      "SLFSKU": "000334898",</t>
  </si>
  <si>
    <t xml:space="preserve">      "SLFSKU": "000169577",</t>
  </si>
  <si>
    <t xml:space="preserve">      "SLFQTY": "000000100",</t>
  </si>
  <si>
    <t xml:space="preserve">      "SLFQTN": "",</t>
  </si>
  <si>
    <t xml:space="preserve">      "SLFORG": "000001129",</t>
  </si>
  <si>
    <t xml:space="preserve">      "SLFORG": "000001159",</t>
  </si>
  <si>
    <t xml:space="preserve">      "SLFORN": "",</t>
  </si>
  <si>
    <t xml:space="preserve">      "SLFADC": "0000",</t>
  </si>
  <si>
    <t xml:space="preserve">      "SLFADP": "000000000",</t>
  </si>
  <si>
    <t xml:space="preserve">      "SLFADN": "",</t>
  </si>
  <si>
    <t xml:space="preserve">      "SLFOVR": "000000000",</t>
  </si>
  <si>
    <t xml:space="preserve">      "SLFOVN": "",</t>
  </si>
  <si>
    <t xml:space="preserve">      "SLFDST": "",</t>
  </si>
  <si>
    <t xml:space="preserve">      "SLFDSA": "000000000",</t>
  </si>
  <si>
    <t xml:space="preserve">      "SLFDSN": "",</t>
  </si>
  <si>
    <t xml:space="preserve">      "SLFSEL": "000001129",</t>
  </si>
  <si>
    <t xml:space="preserve">      "SLFSEL": "000001159",</t>
  </si>
  <si>
    <t xml:space="preserve">      "SLFSLN": "",</t>
  </si>
  <si>
    <t xml:space="preserve">      "SLFEXT": "00000001129",</t>
  </si>
  <si>
    <t xml:space="preserve">      "SLFEXT": "00000001159",</t>
  </si>
  <si>
    <t xml:space="preserve">      "SLFEXN": "",</t>
  </si>
  <si>
    <t xml:space="preserve">      "SLFTX1": "N",</t>
  </si>
  <si>
    <t xml:space="preserve">      "SLFTX2": "N",</t>
  </si>
  <si>
    <t xml:space="preserve">      "SLFTX3": "Y",</t>
  </si>
  <si>
    <t xml:space="preserve">      "SLFTX4": "N",</t>
  </si>
  <si>
    <t xml:space="preserve">      "SLFRFC": "",</t>
  </si>
  <si>
    <t xml:space="preserve">      "SLFRFD": "",</t>
  </si>
  <si>
    <t xml:space="preserve">      "SLFUPC": "0000000000000",</t>
  </si>
  <si>
    <t xml:space="preserve">      "SLFSPS": "00085",</t>
  </si>
  <si>
    <t xml:space="preserve">      "SLFSTS": " ",</t>
  </si>
  <si>
    <t xml:space="preserve">      "SLFZIP": "",</t>
  </si>
  <si>
    <t xml:space="preserve">      "SLFCNM": "",</t>
  </si>
  <si>
    <t xml:space="preserve">      "SLFNUM": "",</t>
  </si>
  <si>
    <t xml:space="preserve">      "SLFRSN": "",</t>
  </si>
  <si>
    <t xml:space="preserve">      "SLFOSP": "00000",</t>
  </si>
  <si>
    <t xml:space="preserve">      "SLFOST": "00000",</t>
  </si>
  <si>
    <t xml:space="preserve">      "SLFGDA": "000000000",</t>
  </si>
  <si>
    <t xml:space="preserve">      "SLFGDS": "",</t>
  </si>
  <si>
    <t xml:space="preserve">      "SLFGDR": "00",</t>
  </si>
  <si>
    <t xml:space="preserve">      "SLFRDR": "00",</t>
  </si>
  <si>
    <t xml:space="preserve">      "SLFSCN": "Y",</t>
  </si>
  <si>
    <t xml:space="preserve">      "SLFACD": "ON    ",</t>
  </si>
  <si>
    <t xml:space="preserve">      "SLFTCD": "",</t>
  </si>
  <si>
    <t xml:space="preserve">      "SLFTE1": "",</t>
  </si>
  <si>
    <t xml:space="preserve">      "SLFTE2": "",</t>
  </si>
  <si>
    <t xml:space="preserve">      "SLFTEN": "",</t>
  </si>
  <si>
    <t xml:space="preserve">      "SLFPVC": "REG ",</t>
  </si>
  <si>
    <t xml:space="preserve">      "SLFREF": "ORG         ",</t>
  </si>
  <si>
    <t xml:space="preserve">      "SLFORT": "000001129",</t>
  </si>
  <si>
    <t xml:space="preserve">      "SLFORT": "000001159",</t>
  </si>
  <si>
    <t xml:space="preserve">      "SLFOPN": "",</t>
  </si>
  <si>
    <t xml:space="preserve">      "SLFOTS": "00000",</t>
  </si>
  <si>
    <t xml:space="preserve">      "SLFOTD": "000000",</t>
  </si>
  <si>
    <t xml:space="preserve">      "SLFOTR": "000",</t>
  </si>
  <si>
    <t xml:space="preserve">      "SLFOTT": "00000",</t>
  </si>
  <si>
    <t xml:space="preserve">      "SLFPLC": 55010,</t>
  </si>
  <si>
    <t xml:space="preserve">      "SLFPCN": 1,</t>
  </si>
  <si>
    <t xml:space="preserve">      "SLFPDT": 260123,</t>
  </si>
  <si>
    <t xml:space="preserve">      "SLFCCN": 1,</t>
  </si>
  <si>
    <t xml:space="preserve">      "SLFCDT": 260123,</t>
  </si>
  <si>
    <t xml:space="preserve">      "SLFCTM": 154417,</t>
  </si>
  <si>
    <t xml:space="preserve">      "SLFORD": "",</t>
  </si>
  <si>
    <t xml:space="preserve">      "ASFPRO": "",</t>
  </si>
  <si>
    <t xml:space="preserve">      "ASFSST": 0,</t>
  </si>
  <si>
    <t xml:space="preserve">      "ASFIST": 0,</t>
  </si>
  <si>
    <t xml:space="preserve">      "SLFEML": "",</t>
  </si>
  <si>
    <t xml:space="preserve">      "SLFECN": 0</t>
  </si>
  <si>
    <t>SKU 1</t>
  </si>
  <si>
    <t>SKU 2</t>
  </si>
  <si>
    <t>SKU 3</t>
  </si>
  <si>
    <t>SKU 4</t>
  </si>
  <si>
    <t>Tax 1</t>
  </si>
  <si>
    <t>Tender1</t>
  </si>
  <si>
    <t>SLFTTP: "01",</t>
  </si>
  <si>
    <t xml:space="preserve">      "SLFLNT": "XH",</t>
  </si>
  <si>
    <t xml:space="preserve">      "TNFTDT": "260126",</t>
  </si>
  <si>
    <t xml:space="preserve">      "SLFTDT": "260126",</t>
  </si>
  <si>
    <t xml:space="preserve">      "TNFTTM": "163959",</t>
  </si>
  <si>
    <t xml:space="preserve">      "SLFTTM": "163959",</t>
  </si>
  <si>
    <t xml:space="preserve">      "TNFCLK": "00006",</t>
  </si>
  <si>
    <t xml:space="preserve">      "SLFCLK": "00006",</t>
  </si>
  <si>
    <t xml:space="preserve">      "TNFREG": "006",</t>
  </si>
  <si>
    <t xml:space="preserve">      "SLFREG": "006",</t>
  </si>
  <si>
    <t xml:space="preserve">      "TNFTTX": "00539",</t>
  </si>
  <si>
    <t xml:space="preserve">      "SLFTTX": "00539",</t>
  </si>
  <si>
    <t xml:space="preserve">      "TNFTSQ": "00006",</t>
  </si>
  <si>
    <t xml:space="preserve">      "SLFTSQ": "00003",</t>
  </si>
  <si>
    <t xml:space="preserve">      "SLFTSQ": "00004",</t>
  </si>
  <si>
    <t xml:space="preserve">      "SLFTSQ": "00005",</t>
  </si>
  <si>
    <t xml:space="preserve">      "TNFFCD": "DC",</t>
  </si>
  <si>
    <t xml:space="preserve">      "SLFSKU": "000301286",</t>
  </si>
  <si>
    <t xml:space="preserve">      "SLFSKU": "000050481",</t>
  </si>
  <si>
    <t xml:space="preserve">      "SLFSKU": "000491309",</t>
  </si>
  <si>
    <t xml:space="preserve">      "SLFSKU": "000000000",</t>
  </si>
  <si>
    <t xml:space="preserve">      "TNFAMT": "00000002912",</t>
  </si>
  <si>
    <t xml:space="preserve">      "TNFCCD": "***************8644",</t>
  </si>
  <si>
    <t xml:space="preserve">      "SLFORG": "000000659",</t>
  </si>
  <si>
    <t xml:space="preserve">      "SLFORG": "000000399",</t>
  </si>
  <si>
    <t xml:space="preserve">      "SLFORG": "000000389",</t>
  </si>
  <si>
    <t xml:space="preserve">      "SLFORG": "000000000",</t>
  </si>
  <si>
    <t xml:space="preserve">      "TNFAUT": "899130",</t>
  </si>
  <si>
    <t xml:space="preserve">      "TNFMSR": " ",</t>
  </si>
  <si>
    <t xml:space="preserve">      "SLFSEL": "000000659",</t>
  </si>
  <si>
    <t xml:space="preserve">      "SLFSEL": "000000399",</t>
  </si>
  <si>
    <t xml:space="preserve">      "SLFSEL": "000000389",</t>
  </si>
  <si>
    <t xml:space="preserve">      "SLFSEL": "000000336",</t>
  </si>
  <si>
    <t xml:space="preserve">      "SLFEXT": "00000000659",</t>
  </si>
  <si>
    <t xml:space="preserve">      "SLFEXT": "00000000399",</t>
  </si>
  <si>
    <t xml:space="preserve">      "SLFEXT": "00000000389",</t>
  </si>
  <si>
    <t xml:space="preserve">      "SLFEXT": "00000000336",</t>
  </si>
  <si>
    <t xml:space="preserve">      "TNFPDT": 260126,</t>
  </si>
  <si>
    <t xml:space="preserve">      "TNFCDT": 260126,</t>
  </si>
  <si>
    <t xml:space="preserve">      "SLFTX3": "N",</t>
  </si>
  <si>
    <t xml:space="preserve">      "TNFCTM": 163959,</t>
  </si>
  <si>
    <t xml:space="preserve">      "SLFSPS": "60065",</t>
  </si>
  <si>
    <t xml:space="preserve">      "SLFSCN": "N",</t>
  </si>
  <si>
    <t xml:space="preserve">      "SLFACD": "HON   ",</t>
  </si>
  <si>
    <t xml:space="preserve">      "SLFPVC": "",</t>
  </si>
  <si>
    <t xml:space="preserve">      "SLFREF": "",</t>
  </si>
  <si>
    <t xml:space="preserve">      "SLFORT": "000000000",</t>
  </si>
  <si>
    <t xml:space="preserve">      "SLFORT": "000000659",</t>
  </si>
  <si>
    <t xml:space="preserve">      "SLFORT": "000000399",</t>
  </si>
  <si>
    <t xml:space="preserve">      "SLFORT": "000000389",</t>
  </si>
  <si>
    <t xml:space="preserve">      "SLFPDT": 260126,</t>
  </si>
  <si>
    <t xml:space="preserve">      "SLFCDT": 260126,</t>
  </si>
  <si>
    <t xml:space="preserve">      "SLFCTM": 163959,</t>
  </si>
  <si>
    <t>SKU LIne</t>
  </si>
  <si>
    <t>Tax LIne</t>
  </si>
  <si>
    <t>Tender</t>
  </si>
  <si>
    <t xml:space="preserve">      "TNFTDT": "260128",</t>
  </si>
  <si>
    <t xml:space="preserve">      "SLFTDT": "260128",</t>
  </si>
  <si>
    <t xml:space="preserve">      "TNFCCD": "***************4902",</t>
  </si>
  <si>
    <t xml:space="preserve">      "TNFPDT": 260128,</t>
  </si>
  <si>
    <t xml:space="preserve">      "TNFCDT": 260128,</t>
  </si>
  <si>
    <t xml:space="preserve">      "SLFTCD": "HST   ",</t>
  </si>
  <si>
    <t xml:space="preserve">      "SLFPDT": 260128,</t>
  </si>
  <si>
    <t xml:space="preserve">      "SLFCDT": 260128,</t>
  </si>
  <si>
    <t xml:space="preserve">      "TNFTSQ": "00004",</t>
  </si>
  <si>
    <t xml:space="preserve">      "SLFTTM": "144416",</t>
  </si>
  <si>
    <t xml:space="preserve">      "SLFTTX": "00604",</t>
  </si>
  <si>
    <t xml:space="preserve">      "SLFSKU": "000272093",</t>
  </si>
  <si>
    <t xml:space="preserve">      "SLFQTY": "000001200",</t>
  </si>
  <si>
    <t xml:space="preserve">      "SLFORG": "000000083",</t>
  </si>
  <si>
    <t xml:space="preserve">      "SLFSEL": "000000083",</t>
  </si>
  <si>
    <t xml:space="preserve">      "SLFEXT": "00000000996",</t>
  </si>
  <si>
    <t xml:space="preserve">      "SLFORT": "000000083",</t>
  </si>
  <si>
    <t xml:space="preserve">      "SLFCTM": 144416,</t>
  </si>
  <si>
    <t xml:space="preserve">      "SLFSKU": "000125728",</t>
  </si>
  <si>
    <t xml:space="preserve">      "SLFORG": "000013900",</t>
  </si>
  <si>
    <t xml:space="preserve">      "SLFSEL": "000013900",</t>
  </si>
  <si>
    <t xml:space="preserve">      "SLFEXT": "00000013900",</t>
  </si>
  <si>
    <t xml:space="preserve">      "SLFORT": "000013900",</t>
  </si>
  <si>
    <t xml:space="preserve">      "SLFSEL": "000001936",</t>
  </si>
  <si>
    <t xml:space="preserve">      "SLFEXT": "00000001936",</t>
  </si>
  <si>
    <t xml:space="preserve">    }</t>
  </si>
  <si>
    <t xml:space="preserve"> "SLFTTP": "01",</t>
  </si>
  <si>
    <t>SKU2</t>
  </si>
  <si>
    <t xml:space="preserve">      "TNFTTM": "144416",</t>
  </si>
  <si>
    <t xml:space="preserve">      "TNFTTX": "00604",</t>
  </si>
  <si>
    <t xml:space="preserve">      "TNFAMT": "00000016832",</t>
  </si>
  <si>
    <t xml:space="preserve">      "TNFCTM": 144416,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</si>
</sst>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scheme val="minor"/>
    </font>
    <font>
      <b/>
      <sz val="11"/>
      <color rgb="FFFF0000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0000"/>
      <name val="Aptos Narrow"/>
      <family val="2"/>
      <scheme val="minor"/>
    </font>
    <font>
      <strike/>
      <sz val="11"/>
      <color rgb="FFFF0000"/>
      <name val="Aptos Narrow"/>
      <scheme val="minor"/>
    </font>
    <font>
      <sz val="11"/>
      <color theme="1"/>
      <name val="Aptos Narrow"/>
      <charset val="1"/>
    </font>
    <font>
      <b/>
      <strike/>
      <sz val="11"/>
      <color rgb="FFFF0000"/>
      <name val="Aptos Narrow"/>
      <scheme val="minor"/>
    </font>
    <font>
      <sz val="9"/>
      <color theme="1"/>
      <name val="Monaco"/>
      <charset val="1"/>
    </font>
    <font>
      <strike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4" borderId="0" xfId="0" applyFill="1"/>
    <xf numFmtId="0" fontId="0" fillId="0" borderId="0" xfId="0" applyAlignment="1">
      <alignment vertical="top" wrapText="1"/>
    </xf>
    <xf numFmtId="0" fontId="1" fillId="0" borderId="0" xfId="0" applyFont="1"/>
    <xf numFmtId="0" fontId="4" fillId="0" borderId="0" xfId="0" applyFont="1"/>
    <xf numFmtId="49" fontId="0" fillId="3" borderId="1" xfId="0" applyNumberFormat="1" applyFill="1" applyBorder="1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0" fillId="0" borderId="1" xfId="0" applyBorder="1" applyAlignment="1">
      <alignment vertical="top"/>
    </xf>
    <xf numFmtId="0" fontId="3" fillId="0" borderId="1" xfId="0" applyFont="1" applyBorder="1"/>
    <xf numFmtId="49" fontId="4" fillId="5" borderId="1" xfId="0" applyNumberFormat="1" applyFont="1" applyFill="1" applyBorder="1"/>
    <xf numFmtId="0" fontId="1" fillId="3" borderId="1" xfId="0" applyFont="1" applyFill="1" applyBorder="1"/>
    <xf numFmtId="49" fontId="0" fillId="6" borderId="1" xfId="0" applyNumberFormat="1" applyFill="1" applyBorder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  <xf numFmtId="0" fontId="1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7" fillId="0" borderId="1" xfId="0" quotePrefix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3" fillId="6" borderId="1" xfId="0" applyNumberFormat="1" applyFont="1" applyFill="1" applyBorder="1"/>
    <xf numFmtId="49" fontId="4" fillId="6" borderId="1" xfId="0" applyNumberFormat="1" applyFont="1" applyFill="1" applyBorder="1"/>
    <xf numFmtId="49" fontId="0" fillId="6" borderId="0" xfId="0" applyNumberFormat="1" applyFill="1"/>
    <xf numFmtId="49" fontId="4" fillId="6" borderId="0" xfId="0" applyNumberFormat="1" applyFont="1" applyFill="1"/>
    <xf numFmtId="49" fontId="3" fillId="6" borderId="0" xfId="0" applyNumberFormat="1" applyFont="1" applyFill="1"/>
    <xf numFmtId="0" fontId="0" fillId="0" borderId="2" xfId="0" applyBorder="1"/>
    <xf numFmtId="49" fontId="0" fillId="3" borderId="0" xfId="0" applyNumberFormat="1" applyFill="1"/>
    <xf numFmtId="49" fontId="0" fillId="2" borderId="1" xfId="0" applyNumberFormat="1" applyFill="1" applyBorder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0" fontId="4" fillId="0" borderId="0" xfId="0" applyFont="1" applyAlignment="1">
      <alignment vertical="top" wrapText="1"/>
    </xf>
    <xf numFmtId="0" fontId="0" fillId="3" borderId="1" xfId="0" applyFill="1" applyBorder="1" applyAlignment="1">
      <alignment wrapText="1"/>
    </xf>
    <xf numFmtId="49" fontId="0" fillId="3" borderId="0" xfId="0" applyNumberFormat="1" applyFill="1" applyAlignment="1">
      <alignment horizontal="center"/>
    </xf>
    <xf numFmtId="49" fontId="0" fillId="2" borderId="0" xfId="0" applyNumberFormat="1" applyFill="1"/>
    <xf numFmtId="0" fontId="0" fillId="0" borderId="0" xfId="0" applyAlignment="1">
      <alignment vertical="top"/>
    </xf>
    <xf numFmtId="0" fontId="0" fillId="3" borderId="1" xfId="0" applyFill="1" applyBorder="1" applyAlignment="1">
      <alignment vertical="center"/>
    </xf>
    <xf numFmtId="49" fontId="3" fillId="3" borderId="1" xfId="0" applyNumberFormat="1" applyFont="1" applyFill="1" applyBorder="1"/>
    <xf numFmtId="49" fontId="3" fillId="3" borderId="0" xfId="0" applyNumberFormat="1" applyFont="1" applyFill="1"/>
    <xf numFmtId="0" fontId="12" fillId="3" borderId="0" xfId="0" applyFont="1" applyFill="1"/>
    <xf numFmtId="0" fontId="5" fillId="3" borderId="0" xfId="0" applyFont="1" applyFill="1" applyAlignment="1">
      <alignment wrapText="1"/>
    </xf>
    <xf numFmtId="0" fontId="0" fillId="7" borderId="1" xfId="0" applyFill="1" applyBorder="1"/>
    <xf numFmtId="49" fontId="0" fillId="7" borderId="1" xfId="0" applyNumberFormat="1" applyFill="1" applyBorder="1"/>
    <xf numFmtId="0" fontId="0" fillId="7" borderId="1" xfId="0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0" fillId="7" borderId="0" xfId="0" applyFill="1"/>
    <xf numFmtId="0" fontId="0" fillId="7" borderId="1" xfId="0" applyFill="1" applyBorder="1" applyAlignment="1">
      <alignment vertical="top"/>
    </xf>
    <xf numFmtId="0" fontId="2" fillId="7" borderId="1" xfId="0" applyFont="1" applyFill="1" applyBorder="1" applyAlignment="1">
      <alignment wrapText="1"/>
    </xf>
    <xf numFmtId="0" fontId="0" fillId="4" borderId="1" xfId="0" applyFill="1" applyBorder="1" applyAlignment="1">
      <alignment vertical="top"/>
    </xf>
    <xf numFmtId="49" fontId="0" fillId="4" borderId="1" xfId="0" applyNumberFormat="1" applyFill="1" applyBorder="1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quotePrefix="1" applyFont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3" fillId="0" borderId="0" xfId="0" quotePrefix="1" applyFont="1" applyAlignment="1">
      <alignment wrapText="1"/>
    </xf>
    <xf numFmtId="0" fontId="5" fillId="0" borderId="0" xfId="0" applyFont="1" applyAlignment="1">
      <alignment vertical="top" wrapText="1"/>
    </xf>
    <xf numFmtId="0" fontId="8" fillId="0" borderId="0" xfId="0" applyFont="1"/>
    <xf numFmtId="0" fontId="10" fillId="0" borderId="0" xfId="0" applyFont="1"/>
    <xf numFmtId="0" fontId="6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8" borderId="0" xfId="0" quotePrefix="1" applyFill="1"/>
    <xf numFmtId="0" fontId="0" fillId="8" borderId="0" xfId="0" applyFill="1" applyAlignment="1">
      <alignment wrapText="1"/>
    </xf>
    <xf numFmtId="0" fontId="0" fillId="8" borderId="0" xfId="0" quotePrefix="1" applyFill="1" applyAlignment="1">
      <alignment wrapText="1"/>
    </xf>
    <xf numFmtId="0" fontId="0" fillId="8" borderId="0" xfId="0" applyFill="1"/>
    <xf numFmtId="0" fontId="13" fillId="8" borderId="0" xfId="0" quotePrefix="1" applyFont="1" applyFill="1"/>
    <xf numFmtId="0" fontId="13" fillId="8" borderId="0" xfId="0" applyFont="1" applyFill="1"/>
    <xf numFmtId="0" fontId="14" fillId="8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3" fillId="8" borderId="0" xfId="0" quotePrefix="1" applyFont="1" applyFill="1" applyAlignment="1">
      <alignment vertical="center"/>
    </xf>
    <xf numFmtId="0" fontId="0" fillId="8" borderId="0" xfId="0" applyFill="1" applyAlignment="1">
      <alignment vertical="center"/>
    </xf>
    <xf numFmtId="0" fontId="3" fillId="8" borderId="0" xfId="0" quotePrefix="1" applyFont="1" applyFill="1"/>
    <xf numFmtId="0" fontId="0" fillId="0" borderId="0" xfId="0" quotePrefix="1"/>
    <xf numFmtId="0" fontId="0" fillId="10" borderId="1" xfId="0" applyFill="1" applyBorder="1"/>
    <xf numFmtId="49" fontId="0" fillId="10" borderId="1" xfId="0" applyNumberFormat="1" applyFill="1" applyBorder="1"/>
    <xf numFmtId="49" fontId="3" fillId="10" borderId="1" xfId="0" applyNumberFormat="1" applyFont="1" applyFill="1" applyBorder="1"/>
    <xf numFmtId="49" fontId="3" fillId="10" borderId="0" xfId="0" applyNumberFormat="1" applyFont="1" applyFill="1"/>
    <xf numFmtId="49" fontId="0" fillId="3" borderId="2" xfId="0" applyNumberFormat="1" applyFill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49" fontId="0" fillId="3" borderId="4" xfId="0" applyNumberFormat="1" applyFill="1" applyBorder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9" borderId="1" xfId="0" applyFont="1" applyFill="1" applyBorder="1" applyAlignment="1">
      <alignment wrapText="1"/>
    </xf>
    <xf numFmtId="0" fontId="0" fillId="10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treya Uppaluru" id="{0C81972A-8D60-4D70-B63A-EDA9CE8445E3}" userId="S::6006524@rona.ca::cc0d8fb9-570a-4f89-aa6c-f6051fbe9cd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8" dT="2026-01-27T15:47:41.93" personId="{0C81972A-8D60-4D70-B63A-EDA9CE8445E3}" id="{BB6C8C93-26BC-4E29-AFEE-E5C3DF951307}">
    <text>Updated to Always blank on Jan 27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96329-6158-41AD-ACD2-73E218CFA0C5}">
  <dimension ref="A1:E39"/>
  <sheetViews>
    <sheetView topLeftCell="A8" workbookViewId="0">
      <selection activeCell="D20" sqref="D20"/>
    </sheetView>
  </sheetViews>
  <sheetFormatPr defaultRowHeight="14.5"/>
  <cols>
    <col min="1" max="1" width="17.26953125" customWidth="1"/>
    <col min="2" max="2" width="27.453125" customWidth="1"/>
    <col min="3" max="3" width="13.81640625" customWidth="1"/>
    <col min="4" max="4" width="24.81640625" customWidth="1"/>
    <col min="5" max="5" width="19.26953125" customWidth="1"/>
  </cols>
  <sheetData>
    <row r="1" spans="1:5" ht="29">
      <c r="A1" s="41" t="s">
        <v>0</v>
      </c>
      <c r="B1" s="74" t="s">
        <v>1</v>
      </c>
      <c r="C1" s="41" t="s">
        <v>2</v>
      </c>
      <c r="D1" s="41"/>
      <c r="E1" s="41"/>
    </row>
    <row r="2" spans="1:5" ht="43.5">
      <c r="A2" s="75" t="s">
        <v>3</v>
      </c>
      <c r="B2" s="76" t="s">
        <v>4</v>
      </c>
      <c r="C2" s="75" t="s">
        <v>3</v>
      </c>
      <c r="D2" s="77" t="s">
        <v>5</v>
      </c>
      <c r="E2" s="78" t="s">
        <v>6</v>
      </c>
    </row>
    <row r="3" spans="1:5" ht="43.5">
      <c r="A3" s="75" t="s">
        <v>3</v>
      </c>
      <c r="B3" s="76" t="s">
        <v>4</v>
      </c>
      <c r="C3" s="75" t="s">
        <v>7</v>
      </c>
      <c r="D3" s="77" t="s">
        <v>8</v>
      </c>
      <c r="E3" s="78" t="s">
        <v>9</v>
      </c>
    </row>
    <row r="4" spans="1:5">
      <c r="A4" s="79" t="s">
        <v>3</v>
      </c>
      <c r="B4" s="80"/>
      <c r="C4" s="79" t="s">
        <v>10</v>
      </c>
      <c r="D4" s="80" t="s">
        <v>11</v>
      </c>
      <c r="E4" s="80" t="s">
        <v>12</v>
      </c>
    </row>
    <row r="5" spans="1:5" ht="43.5">
      <c r="A5" s="75" t="s">
        <v>3</v>
      </c>
      <c r="B5" s="76" t="s">
        <v>4</v>
      </c>
      <c r="C5" s="75" t="s">
        <v>13</v>
      </c>
      <c r="D5" s="75" t="s">
        <v>14</v>
      </c>
      <c r="E5" s="78" t="s">
        <v>15</v>
      </c>
    </row>
    <row r="6" spans="1:5" ht="43.5">
      <c r="A6" s="75" t="s">
        <v>16</v>
      </c>
      <c r="B6" s="81" t="s">
        <v>17</v>
      </c>
      <c r="C6" s="75" t="s">
        <v>16</v>
      </c>
      <c r="D6" s="82" t="s">
        <v>17</v>
      </c>
      <c r="E6" s="78" t="s">
        <v>18</v>
      </c>
    </row>
    <row r="7" spans="1:5" ht="29">
      <c r="A7" s="75" t="s">
        <v>19</v>
      </c>
      <c r="B7" s="78" t="s">
        <v>20</v>
      </c>
      <c r="C7" s="75" t="s">
        <v>19</v>
      </c>
      <c r="D7" s="77" t="s">
        <v>5</v>
      </c>
      <c r="E7" s="78" t="s">
        <v>21</v>
      </c>
    </row>
    <row r="8" spans="1:5" ht="29">
      <c r="A8" s="75" t="s">
        <v>19</v>
      </c>
      <c r="B8" s="78" t="s">
        <v>20</v>
      </c>
      <c r="C8" s="75" t="s">
        <v>22</v>
      </c>
      <c r="D8" s="77" t="s">
        <v>8</v>
      </c>
      <c r="E8" s="78" t="s">
        <v>23</v>
      </c>
    </row>
    <row r="9" spans="1:5">
      <c r="A9" s="75" t="s">
        <v>19</v>
      </c>
      <c r="B9" s="78" t="s">
        <v>20</v>
      </c>
      <c r="C9" s="75" t="s">
        <v>13</v>
      </c>
      <c r="D9" s="75" t="s">
        <v>14</v>
      </c>
      <c r="E9" s="78" t="s">
        <v>24</v>
      </c>
    </row>
    <row r="10" spans="1:5">
      <c r="A10" s="83" t="s">
        <v>25</v>
      </c>
      <c r="B10" s="83"/>
      <c r="C10" s="83" t="s">
        <v>25</v>
      </c>
      <c r="D10" s="83"/>
      <c r="E10" s="84" t="s">
        <v>26</v>
      </c>
    </row>
    <row r="11" spans="1:5">
      <c r="A11" s="85" t="s">
        <v>27</v>
      </c>
      <c r="B11" s="85"/>
      <c r="C11" s="85" t="s">
        <v>3</v>
      </c>
      <c r="D11" s="85"/>
      <c r="E11" s="78" t="s">
        <v>28</v>
      </c>
    </row>
    <row r="13" spans="1:5">
      <c r="A13" s="1" t="s">
        <v>29</v>
      </c>
      <c r="B13" s="1"/>
      <c r="C13" s="39"/>
      <c r="D13" s="39"/>
    </row>
    <row r="14" spans="1:5">
      <c r="A14" t="s">
        <v>0</v>
      </c>
      <c r="C14" t="s">
        <v>2</v>
      </c>
    </row>
    <row r="15" spans="1:5" ht="29">
      <c r="A15" s="62" t="s">
        <v>30</v>
      </c>
      <c r="B15" s="62"/>
      <c r="C15" t="s">
        <v>31</v>
      </c>
      <c r="E15" t="s">
        <v>32</v>
      </c>
    </row>
    <row r="16" spans="1:5">
      <c r="A16" s="86"/>
      <c r="B16" s="86"/>
      <c r="C16" s="3" t="s">
        <v>33</v>
      </c>
      <c r="D16" s="3"/>
      <c r="E16" s="3" t="s">
        <v>34</v>
      </c>
    </row>
    <row r="17" spans="1:5">
      <c r="A17" s="86"/>
      <c r="B17" s="86"/>
      <c r="C17" t="s">
        <v>35</v>
      </c>
      <c r="E17" t="s">
        <v>36</v>
      </c>
    </row>
    <row r="18" spans="1:5">
      <c r="C18" t="s">
        <v>37</v>
      </c>
      <c r="E18" t="s">
        <v>38</v>
      </c>
    </row>
    <row r="19" spans="1:5">
      <c r="C19" t="s">
        <v>39</v>
      </c>
      <c r="E19" t="s">
        <v>40</v>
      </c>
    </row>
    <row r="20" spans="1:5">
      <c r="C20" t="s">
        <v>41</v>
      </c>
      <c r="E20" t="s">
        <v>42</v>
      </c>
    </row>
    <row r="21" spans="1:5">
      <c r="C21" t="s">
        <v>43</v>
      </c>
      <c r="E21" t="s">
        <v>44</v>
      </c>
    </row>
    <row r="22" spans="1:5">
      <c r="C22" t="s">
        <v>45</v>
      </c>
      <c r="E22" t="s">
        <v>46</v>
      </c>
    </row>
    <row r="23" spans="1:5">
      <c r="C23" t="s">
        <v>47</v>
      </c>
      <c r="E23" t="s">
        <v>48</v>
      </c>
    </row>
    <row r="24" spans="1:5">
      <c r="C24" t="s">
        <v>49</v>
      </c>
      <c r="E24" t="s">
        <v>50</v>
      </c>
    </row>
    <row r="25" spans="1:5">
      <c r="C25" t="s">
        <v>51</v>
      </c>
      <c r="E25" t="s">
        <v>52</v>
      </c>
    </row>
    <row r="31" spans="1:5">
      <c r="A31" s="5" t="s">
        <v>53</v>
      </c>
      <c r="B31" s="5" t="s">
        <v>54</v>
      </c>
    </row>
    <row r="32" spans="1:5">
      <c r="A32" t="s">
        <v>55</v>
      </c>
      <c r="B32" t="s">
        <v>56</v>
      </c>
      <c r="C32" t="s">
        <v>57</v>
      </c>
    </row>
    <row r="33" spans="1:3">
      <c r="A33" t="s">
        <v>58</v>
      </c>
      <c r="B33" t="s">
        <v>59</v>
      </c>
      <c r="C33" t="s">
        <v>60</v>
      </c>
    </row>
    <row r="34" spans="1:3">
      <c r="A34" t="s">
        <v>61</v>
      </c>
      <c r="B34" t="s">
        <v>62</v>
      </c>
      <c r="C34" t="s">
        <v>63</v>
      </c>
    </row>
    <row r="35" spans="1:3">
      <c r="A35" t="s">
        <v>64</v>
      </c>
      <c r="B35" t="s">
        <v>65</v>
      </c>
      <c r="C35" t="s">
        <v>66</v>
      </c>
    </row>
    <row r="36" spans="1:3">
      <c r="A36" t="s">
        <v>67</v>
      </c>
      <c r="B36" t="s">
        <v>68</v>
      </c>
      <c r="C36" t="s">
        <v>69</v>
      </c>
    </row>
    <row r="37" spans="1:3">
      <c r="A37" t="s">
        <v>70</v>
      </c>
      <c r="B37" t="s">
        <v>71</v>
      </c>
      <c r="C37" t="s">
        <v>72</v>
      </c>
    </row>
    <row r="38" spans="1:3">
      <c r="A38" t="s">
        <v>73</v>
      </c>
      <c r="B38" t="s">
        <v>73</v>
      </c>
      <c r="C38" t="s">
        <v>74</v>
      </c>
    </row>
    <row r="39" spans="1:3">
      <c r="A39" t="s">
        <v>75</v>
      </c>
      <c r="B3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L79"/>
  <sheetViews>
    <sheetView tabSelected="1" topLeftCell="A39" workbookViewId="0">
      <selection activeCell="E53" sqref="E53"/>
    </sheetView>
  </sheetViews>
  <sheetFormatPr defaultRowHeight="14.5"/>
  <cols>
    <col min="1" max="1" width="13.453125" style="15" customWidth="1"/>
    <col min="2" max="2" width="18.26953125" style="15" customWidth="1"/>
    <col min="3" max="3" width="9.1796875" style="15"/>
    <col min="4" max="4" width="11.453125" style="15" customWidth="1"/>
    <col min="5" max="5" width="22.1796875" style="13" customWidth="1"/>
    <col min="6" max="6" width="23.26953125" style="15" customWidth="1"/>
    <col min="7" max="7" width="22.81640625" style="22" customWidth="1"/>
    <col min="8" max="8" width="9.453125" style="22" customWidth="1"/>
    <col min="9" max="9" width="14.1796875" style="13" customWidth="1"/>
    <col min="10" max="10" width="16.453125" style="21" customWidth="1"/>
    <col min="11" max="11" width="27.1796875" customWidth="1"/>
    <col min="12" max="12" width="28.54296875" customWidth="1"/>
  </cols>
  <sheetData>
    <row r="1" spans="1:12">
      <c r="A1" s="14" t="s">
        <v>77</v>
      </c>
      <c r="B1" s="14" t="s">
        <v>78</v>
      </c>
      <c r="C1" s="14" t="s">
        <v>79</v>
      </c>
      <c r="D1" s="14" t="s">
        <v>618</v>
      </c>
      <c r="F1" s="4" t="s">
        <v>80</v>
      </c>
      <c r="G1" s="4" t="s">
        <v>81</v>
      </c>
      <c r="H1" s="20"/>
      <c r="K1" s="1" t="s">
        <v>82</v>
      </c>
      <c r="L1" s="1" t="s">
        <v>83</v>
      </c>
    </row>
    <row r="2" spans="1:12" ht="58">
      <c r="A2" s="15" t="s">
        <v>0</v>
      </c>
      <c r="B2" s="15" t="s">
        <v>84</v>
      </c>
      <c r="C2" s="15">
        <v>2</v>
      </c>
      <c r="D2" s="15" t="str">
        <f>_xlfn.XLOOKUP($A2,Sheet3!$P:$P,Sheet3!$Q:$Q)</f>
        <v>01</v>
      </c>
      <c r="E2" s="44" t="str">
        <f>_xlfn.XLOOKUP($A2,Sheet3!$D:$D,Sheet3!$E:$E)</f>
        <v>01</v>
      </c>
      <c r="F2" s="5" t="s">
        <v>85</v>
      </c>
      <c r="G2" s="5" t="s">
        <v>86</v>
      </c>
      <c r="I2" s="44" t="str">
        <f>_xlfn.XLOOKUP($A2,Sheet3!$J:$J,Sheet3!$K:$K)</f>
        <v>01</v>
      </c>
      <c r="K2" t="s">
        <v>87</v>
      </c>
      <c r="L2" t="s">
        <v>87</v>
      </c>
    </row>
    <row r="3" spans="1:12" ht="72.5">
      <c r="A3" s="15" t="s">
        <v>2</v>
      </c>
      <c r="B3" s="15" t="s">
        <v>88</v>
      </c>
      <c r="C3" s="15">
        <v>2</v>
      </c>
      <c r="D3" s="15" t="str">
        <f>_xlfn.XLOOKUP($A3,Sheet3!$P:$P,Sheet3!$Q:$Q)</f>
        <v>01</v>
      </c>
      <c r="E3" s="44" t="str">
        <f>_xlfn.XLOOKUP($A3,Sheet3!$D:$D,Sheet3!$E:$E)</f>
        <v>01</v>
      </c>
      <c r="F3" s="5" t="s">
        <v>89</v>
      </c>
      <c r="G3" s="5" t="s">
        <v>86</v>
      </c>
      <c r="I3" s="44" t="str">
        <f>_xlfn.XLOOKUP($A3,Sheet3!$J:$J,Sheet3!$K:$K)</f>
        <v>XH</v>
      </c>
      <c r="K3" s="2" t="s">
        <v>90</v>
      </c>
      <c r="L3" s="5" t="s">
        <v>91</v>
      </c>
    </row>
    <row r="4" spans="1:12" ht="101.5">
      <c r="A4" s="15" t="s">
        <v>92</v>
      </c>
      <c r="B4" s="15" t="s">
        <v>93</v>
      </c>
      <c r="C4" s="15">
        <v>6</v>
      </c>
      <c r="D4" s="15" t="str">
        <f>_xlfn.XLOOKUP($A4,Sheet3!$P:$P,Sheet3!$Q:$Q)</f>
        <v>260128</v>
      </c>
      <c r="E4" s="44" t="str">
        <f>_xlfn.XLOOKUP($A4,Sheet3!$D:$D,Sheet3!$E:$E)</f>
        <v>260128</v>
      </c>
      <c r="F4" s="5" t="s">
        <v>94</v>
      </c>
      <c r="G4" s="5" t="s">
        <v>95</v>
      </c>
      <c r="I4" s="44" t="str">
        <f>_xlfn.XLOOKUP($A4,Sheet3!$J:$J,Sheet3!$K:$K)</f>
        <v>260128</v>
      </c>
      <c r="K4" t="s">
        <v>87</v>
      </c>
      <c r="L4" t="s">
        <v>87</v>
      </c>
    </row>
    <row r="5" spans="1:12" ht="101.5">
      <c r="A5" s="15" t="s">
        <v>96</v>
      </c>
      <c r="B5" s="15" t="s">
        <v>97</v>
      </c>
      <c r="C5" s="15">
        <v>6</v>
      </c>
      <c r="D5" s="15" t="str">
        <f>_xlfn.XLOOKUP($A5,Sheet3!$P:$P,Sheet3!$Q:$Q)</f>
        <v>144416</v>
      </c>
      <c r="E5" s="44" t="str">
        <f>_xlfn.XLOOKUP($A5,Sheet3!$D:$D,Sheet3!$E:$E)</f>
        <v>144416</v>
      </c>
      <c r="F5" s="5" t="s">
        <v>94</v>
      </c>
      <c r="G5" s="5" t="s">
        <v>98</v>
      </c>
      <c r="I5" s="44" t="str">
        <f>_xlfn.XLOOKUP($A5,Sheet3!$J:$J,Sheet3!$K:$K)</f>
        <v>144416</v>
      </c>
      <c r="K5" s="9" t="s">
        <v>87</v>
      </c>
      <c r="L5" t="s">
        <v>87</v>
      </c>
    </row>
    <row r="6" spans="1:12" ht="72.5">
      <c r="A6" s="16" t="s">
        <v>99</v>
      </c>
      <c r="B6" s="16" t="s">
        <v>100</v>
      </c>
      <c r="C6" s="16">
        <v>5</v>
      </c>
      <c r="D6" s="15" t="str">
        <f>_xlfn.XLOOKUP($A6,Sheet3!$P:$P,Sheet3!$Q:$Q)</f>
        <v>00085</v>
      </c>
      <c r="E6" s="44" t="str">
        <f>_xlfn.XLOOKUP($A6,Sheet3!$D:$D,Sheet3!$E:$E)</f>
        <v>00085</v>
      </c>
      <c r="F6" s="6" t="s">
        <v>101</v>
      </c>
      <c r="G6" s="5" t="s">
        <v>102</v>
      </c>
      <c r="I6" s="44" t="str">
        <f>_xlfn.XLOOKUP($A6,Sheet3!$J:$J,Sheet3!$K:$K)</f>
        <v>00085</v>
      </c>
      <c r="K6" t="s">
        <v>87</v>
      </c>
      <c r="L6" t="s">
        <v>87</v>
      </c>
    </row>
    <row r="7" spans="1:12" ht="72.5">
      <c r="A7" s="15" t="s">
        <v>103</v>
      </c>
      <c r="B7" s="15" t="s">
        <v>104</v>
      </c>
      <c r="C7" s="15">
        <v>3</v>
      </c>
      <c r="D7" s="15" t="str">
        <f>_xlfn.XLOOKUP($A7,Sheet3!$P:$P,Sheet3!$Q:$Q)</f>
        <v>085</v>
      </c>
      <c r="E7" s="44" t="str">
        <f>_xlfn.XLOOKUP($A7,Sheet3!$D:$D,Sheet3!$E:$E)</f>
        <v>085</v>
      </c>
      <c r="F7" s="6" t="s">
        <v>101</v>
      </c>
      <c r="G7" s="5" t="s">
        <v>105</v>
      </c>
      <c r="I7" s="44" t="str">
        <f>_xlfn.XLOOKUP($A7,Sheet3!$J:$J,Sheet3!$K:$K)</f>
        <v>085</v>
      </c>
      <c r="K7" t="s">
        <v>87</v>
      </c>
      <c r="L7" t="s">
        <v>87</v>
      </c>
    </row>
    <row r="8" spans="1:12" ht="58">
      <c r="A8" s="15" t="s">
        <v>106</v>
      </c>
      <c r="B8" s="15" t="s">
        <v>107</v>
      </c>
      <c r="C8" s="15">
        <v>5</v>
      </c>
      <c r="D8" s="15" t="str">
        <f>_xlfn.XLOOKUP($A8,Sheet3!$P:$P,Sheet3!$Q:$Q)</f>
        <v>00604</v>
      </c>
      <c r="E8" s="44" t="str">
        <f>_xlfn.XLOOKUP($A8,Sheet3!$D:$D,Sheet3!$E:$E)</f>
        <v>00604</v>
      </c>
      <c r="F8" s="5" t="s">
        <v>108</v>
      </c>
      <c r="G8" s="5" t="s">
        <v>109</v>
      </c>
      <c r="I8" s="44" t="str">
        <f>_xlfn.XLOOKUP($A8,Sheet3!$J:$J,Sheet3!$K:$K)</f>
        <v>00604</v>
      </c>
      <c r="K8" t="s">
        <v>87</v>
      </c>
      <c r="L8" t="s">
        <v>87</v>
      </c>
    </row>
    <row r="9" spans="1:12" ht="58">
      <c r="A9" s="15" t="s">
        <v>110</v>
      </c>
      <c r="B9" s="15" t="s">
        <v>111</v>
      </c>
      <c r="C9" s="15">
        <v>5</v>
      </c>
      <c r="D9" s="15" t="str">
        <f>_xlfn.XLOOKUP($A9,Sheet3!$P:$P,Sheet3!$Q:$Q)</f>
        <v>00002</v>
      </c>
      <c r="E9" s="44" t="str">
        <f>_xlfn.XLOOKUP($A9,Sheet3!$D:$D,Sheet3!$E:$E)</f>
        <v>00001</v>
      </c>
      <c r="F9" t="s">
        <v>90</v>
      </c>
      <c r="G9" s="5" t="s">
        <v>112</v>
      </c>
      <c r="I9" s="44" t="str">
        <f>_xlfn.XLOOKUP($A9,Sheet3!$J:$J,Sheet3!$K:$K)</f>
        <v>00003</v>
      </c>
      <c r="K9" t="s">
        <v>87</v>
      </c>
      <c r="L9" t="s">
        <v>87</v>
      </c>
    </row>
    <row r="10" spans="1:12">
      <c r="A10" s="15" t="s">
        <v>113</v>
      </c>
      <c r="B10" s="15" t="s">
        <v>114</v>
      </c>
      <c r="C10" s="15">
        <v>9</v>
      </c>
      <c r="D10" s="15" t="str">
        <f>_xlfn.XLOOKUP($A10,Sheet3!$P:$P,Sheet3!$Q:$Q)</f>
        <v>000125728</v>
      </c>
      <c r="E10" s="44" t="str">
        <f>_xlfn.XLOOKUP($A10,Sheet3!$D:$D,Sheet3!$E:$E)</f>
        <v>000272093</v>
      </c>
      <c r="F10" t="s">
        <v>115</v>
      </c>
      <c r="G10" t="s">
        <v>109</v>
      </c>
      <c r="H10" s="15"/>
      <c r="I10" s="44" t="str">
        <f>_xlfn.XLOOKUP($A10,Sheet3!$J:$J,Sheet3!$K:$K)</f>
        <v>000000000</v>
      </c>
      <c r="K10" t="s">
        <v>90</v>
      </c>
      <c r="L10" t="s">
        <v>116</v>
      </c>
    </row>
    <row r="11" spans="1:12" ht="116">
      <c r="A11" s="17" t="s">
        <v>117</v>
      </c>
      <c r="B11" s="17" t="s">
        <v>118</v>
      </c>
      <c r="C11" s="17">
        <v>9</v>
      </c>
      <c r="D11" s="15" t="str">
        <f>_xlfn.XLOOKUP($A11,Sheet3!$P:$P,Sheet3!$Q:$Q)</f>
        <v>000000100</v>
      </c>
      <c r="E11" s="44" t="str">
        <f>_xlfn.XLOOKUP($A11,Sheet3!$D:$D,Sheet3!$E:$E)</f>
        <v>000001200</v>
      </c>
      <c r="F11" s="5" t="s">
        <v>119</v>
      </c>
      <c r="G11" s="5" t="s">
        <v>120</v>
      </c>
      <c r="I11" s="44" t="str">
        <f>_xlfn.XLOOKUP($A11,Sheet3!$J:$J,Sheet3!$K:$K)</f>
        <v>000000100</v>
      </c>
      <c r="K11" t="s">
        <v>90</v>
      </c>
      <c r="L11" s="5" t="s">
        <v>121</v>
      </c>
    </row>
    <row r="12" spans="1:12" ht="43.5">
      <c r="A12" s="17" t="s">
        <v>122</v>
      </c>
      <c r="B12" s="17" t="s">
        <v>123</v>
      </c>
      <c r="C12" s="17">
        <v>1</v>
      </c>
      <c r="D12" s="15" t="str">
        <f>_xlfn.XLOOKUP($A12,Sheet3!$P:$P,Sheet3!$Q:$Q)</f>
        <v/>
      </c>
      <c r="E12" s="44" t="str">
        <f>_xlfn.XLOOKUP($A12,Sheet3!$D:$D,Sheet3!$E:$E)</f>
        <v/>
      </c>
      <c r="F12" t="s">
        <v>90</v>
      </c>
      <c r="G12" s="62" t="s">
        <v>124</v>
      </c>
      <c r="H12" s="23"/>
      <c r="I12" s="44" t="str">
        <f>_xlfn.XLOOKUP($A12,Sheet3!$J:$J,Sheet3!$K:$K)</f>
        <v/>
      </c>
      <c r="L12" t="s">
        <v>125</v>
      </c>
    </row>
    <row r="13" spans="1:12" ht="72.5">
      <c r="A13" s="17" t="s">
        <v>126</v>
      </c>
      <c r="B13" s="17" t="s">
        <v>127</v>
      </c>
      <c r="C13" s="17">
        <v>9</v>
      </c>
      <c r="D13" s="15" t="str">
        <f>_xlfn.XLOOKUP($A13,Sheet3!$P:$P,Sheet3!$Q:$Q)</f>
        <v>000013900</v>
      </c>
      <c r="E13" s="98" t="s">
        <v>128</v>
      </c>
      <c r="F13" s="5" t="s">
        <v>129</v>
      </c>
      <c r="G13" s="5" t="s">
        <v>130</v>
      </c>
      <c r="I13" s="44" t="str">
        <f>_xlfn.XLOOKUP($A13,Sheet3!$J:$J,Sheet3!$K:$K)</f>
        <v>000000000</v>
      </c>
      <c r="L13" t="s">
        <v>131</v>
      </c>
    </row>
    <row r="14" spans="1:12">
      <c r="A14" s="15" t="s">
        <v>132</v>
      </c>
      <c r="B14" s="15" t="s">
        <v>123</v>
      </c>
      <c r="C14" s="15">
        <v>1</v>
      </c>
      <c r="D14" s="15" t="str">
        <f>_xlfn.XLOOKUP($A14,Sheet3!$P:$P,Sheet3!$Q:$Q)</f>
        <v/>
      </c>
      <c r="E14" s="44" t="str">
        <f>_xlfn.XLOOKUP($A14,Sheet3!$D:$D,Sheet3!$E:$E)</f>
        <v/>
      </c>
      <c r="F14" t="s">
        <v>90</v>
      </c>
      <c r="G14" t="s">
        <v>133</v>
      </c>
      <c r="H14" s="15"/>
      <c r="I14" s="44" t="str">
        <f>_xlfn.XLOOKUP($A14,Sheet3!$J:$J,Sheet3!$K:$K)</f>
        <v/>
      </c>
      <c r="L14" t="s">
        <v>87</v>
      </c>
    </row>
    <row r="15" spans="1:12" ht="130.5">
      <c r="A15" s="17" t="s">
        <v>134</v>
      </c>
      <c r="B15" s="17" t="s">
        <v>135</v>
      </c>
      <c r="C15" s="17">
        <v>4</v>
      </c>
      <c r="D15" s="15" t="str">
        <f>_xlfn.XLOOKUP($A15,Sheet3!$P:$P,Sheet3!$Q:$Q)</f>
        <v>0000</v>
      </c>
      <c r="E15" s="44" t="str">
        <f>_xlfn.XLOOKUP($A15,Sheet3!$D:$D,Sheet3!$E:$E)</f>
        <v>0000</v>
      </c>
      <c r="F15" t="s">
        <v>90</v>
      </c>
      <c r="G15" s="62" t="s">
        <v>136</v>
      </c>
      <c r="H15" s="23"/>
      <c r="I15" s="44" t="str">
        <f>_xlfn.XLOOKUP($A15,Sheet3!$J:$J,Sheet3!$K:$K)</f>
        <v>0000</v>
      </c>
      <c r="L15" t="s">
        <v>137</v>
      </c>
    </row>
    <row r="16" spans="1:12" ht="116">
      <c r="A16" s="17" t="s">
        <v>138</v>
      </c>
      <c r="B16" s="17" t="s">
        <v>139</v>
      </c>
      <c r="C16" s="17">
        <v>9</v>
      </c>
      <c r="D16" s="15" t="str">
        <f>_xlfn.XLOOKUP($A16,Sheet3!$P:$P,Sheet3!$Q:$Q)</f>
        <v>000000000</v>
      </c>
      <c r="E16" s="44" t="str">
        <f>_xlfn.XLOOKUP($A16,Sheet3!$D:$D,Sheet3!$E:$E)</f>
        <v>000000000</v>
      </c>
      <c r="F16" s="63" t="s">
        <v>140</v>
      </c>
      <c r="G16" s="63" t="s">
        <v>141</v>
      </c>
      <c r="H16" s="24"/>
      <c r="I16" s="44" t="str">
        <f>_xlfn.XLOOKUP($A16,Sheet3!$J:$J,Sheet3!$K:$K)</f>
        <v>000000000</v>
      </c>
      <c r="L16" t="s">
        <v>142</v>
      </c>
    </row>
    <row r="17" spans="1:12">
      <c r="A17" s="15" t="s">
        <v>143</v>
      </c>
      <c r="B17" s="15" t="s">
        <v>123</v>
      </c>
      <c r="C17" s="15">
        <v>1</v>
      </c>
      <c r="D17" s="15" t="str">
        <f>_xlfn.XLOOKUP($A17,Sheet3!$P:$P,Sheet3!$Q:$Q)</f>
        <v/>
      </c>
      <c r="E17" s="44" t="str">
        <f>_xlfn.XLOOKUP($A17,Sheet3!$D:$D,Sheet3!$E:$E)</f>
        <v/>
      </c>
      <c r="F17" t="s">
        <v>133</v>
      </c>
      <c r="G17" t="s">
        <v>133</v>
      </c>
      <c r="H17" s="15"/>
      <c r="I17" s="44" t="str">
        <f>_xlfn.XLOOKUP($A17,Sheet3!$J:$J,Sheet3!$K:$K)</f>
        <v/>
      </c>
      <c r="K17" t="s">
        <v>87</v>
      </c>
      <c r="L17" s="3" t="s">
        <v>87</v>
      </c>
    </row>
    <row r="18" spans="1:12" ht="58">
      <c r="A18" s="17" t="s">
        <v>144</v>
      </c>
      <c r="B18" s="17" t="s">
        <v>145</v>
      </c>
      <c r="C18" s="17">
        <v>9</v>
      </c>
      <c r="D18" s="15" t="str">
        <f>_xlfn.XLOOKUP($A18,Sheet3!$P:$P,Sheet3!$Q:$Q)</f>
        <v>000000000</v>
      </c>
      <c r="E18" s="44" t="str">
        <f>_xlfn.XLOOKUP($A18,Sheet3!$D:$D,Sheet3!$E:$E)</f>
        <v>000000000</v>
      </c>
      <c r="F18" s="64" t="s">
        <v>146</v>
      </c>
      <c r="G18" s="64" t="s">
        <v>147</v>
      </c>
      <c r="H18" s="25"/>
      <c r="I18" s="44" t="str">
        <f>_xlfn.XLOOKUP($A18,Sheet3!$J:$J,Sheet3!$K:$K)</f>
        <v>000000000</v>
      </c>
      <c r="L18" s="3" t="s">
        <v>142</v>
      </c>
    </row>
    <row r="19" spans="1:12">
      <c r="A19" s="15" t="s">
        <v>148</v>
      </c>
      <c r="B19" s="15" t="s">
        <v>123</v>
      </c>
      <c r="C19" s="15">
        <v>1</v>
      </c>
      <c r="D19" s="15" t="str">
        <f>_xlfn.XLOOKUP($A19,Sheet3!$P:$P,Sheet3!$Q:$Q)</f>
        <v/>
      </c>
      <c r="E19" s="44" t="str">
        <f>_xlfn.XLOOKUP($A19,Sheet3!$D:$D,Sheet3!$E:$E)</f>
        <v/>
      </c>
      <c r="F19" t="s">
        <v>90</v>
      </c>
      <c r="G19" t="s">
        <v>133</v>
      </c>
      <c r="H19" s="15"/>
      <c r="I19" s="44" t="str">
        <f>_xlfn.XLOOKUP($A19,Sheet3!$J:$J,Sheet3!$K:$K)</f>
        <v/>
      </c>
      <c r="K19" t="s">
        <v>87</v>
      </c>
      <c r="L19" t="s">
        <v>87</v>
      </c>
    </row>
    <row r="20" spans="1:12">
      <c r="A20" s="15" t="s">
        <v>149</v>
      </c>
      <c r="B20" s="15" t="s">
        <v>150</v>
      </c>
      <c r="C20" s="15">
        <v>2</v>
      </c>
      <c r="D20" s="15" t="str">
        <f>_xlfn.XLOOKUP($A20,Sheet3!$P:$P,Sheet3!$Q:$Q)</f>
        <v/>
      </c>
      <c r="E20" s="44" t="str">
        <f>_xlfn.XLOOKUP($A20,Sheet3!$D:$D,Sheet3!$E:$E)</f>
        <v/>
      </c>
      <c r="F20" t="s">
        <v>90</v>
      </c>
      <c r="G20" t="s">
        <v>133</v>
      </c>
      <c r="H20" s="15"/>
      <c r="I20" s="44" t="str">
        <f>_xlfn.XLOOKUP($A20,Sheet3!$J:$J,Sheet3!$K:$K)</f>
        <v/>
      </c>
      <c r="L20" t="s">
        <v>125</v>
      </c>
    </row>
    <row r="21" spans="1:12">
      <c r="A21" s="15" t="s">
        <v>151</v>
      </c>
      <c r="B21" s="15" t="s">
        <v>152</v>
      </c>
      <c r="C21" s="15">
        <v>9</v>
      </c>
      <c r="D21" s="15" t="str">
        <f>_xlfn.XLOOKUP($A21,Sheet3!$P:$P,Sheet3!$Q:$Q)</f>
        <v>000000000</v>
      </c>
      <c r="E21" s="44" t="str">
        <f>_xlfn.XLOOKUP($A21,Sheet3!$D:$D,Sheet3!$E:$E)</f>
        <v>000000000</v>
      </c>
      <c r="F21" t="s">
        <v>90</v>
      </c>
      <c r="G21" t="s">
        <v>153</v>
      </c>
      <c r="H21" s="15"/>
      <c r="I21" s="44" t="str">
        <f>_xlfn.XLOOKUP($A21,Sheet3!$J:$J,Sheet3!$K:$K)</f>
        <v>000000000</v>
      </c>
      <c r="L21" t="s">
        <v>142</v>
      </c>
    </row>
    <row r="22" spans="1:12">
      <c r="A22" s="15" t="s">
        <v>154</v>
      </c>
      <c r="B22" s="15" t="s">
        <v>123</v>
      </c>
      <c r="C22" s="15">
        <v>1</v>
      </c>
      <c r="D22" s="15" t="str">
        <f>_xlfn.XLOOKUP($A22,Sheet3!$P:$P,Sheet3!$Q:$Q)</f>
        <v/>
      </c>
      <c r="E22" s="44" t="str">
        <f>_xlfn.XLOOKUP($A22,Sheet3!$D:$D,Sheet3!$E:$E)</f>
        <v/>
      </c>
      <c r="F22" t="s">
        <v>90</v>
      </c>
      <c r="G22" t="s">
        <v>133</v>
      </c>
      <c r="H22" s="15"/>
      <c r="I22" s="44" t="str">
        <f>_xlfn.XLOOKUP($A22,Sheet3!$J:$J,Sheet3!$K:$K)</f>
        <v/>
      </c>
      <c r="K22" t="s">
        <v>128</v>
      </c>
      <c r="L22" s="3" t="s">
        <v>87</v>
      </c>
    </row>
    <row r="23" spans="1:12" ht="87">
      <c r="A23" s="17" t="s">
        <v>155</v>
      </c>
      <c r="B23" s="17" t="s">
        <v>156</v>
      </c>
      <c r="C23" s="17">
        <v>9</v>
      </c>
      <c r="D23" s="15" t="str">
        <f>_xlfn.XLOOKUP($A23,Sheet3!$P:$P,Sheet3!$Q:$Q)</f>
        <v>000013900</v>
      </c>
      <c r="E23" s="44" t="str">
        <f>_xlfn.XLOOKUP($A23,Sheet3!$D:$D,Sheet3!$E:$E)</f>
        <v>000000083</v>
      </c>
      <c r="F23" s="3" t="s">
        <v>157</v>
      </c>
      <c r="G23" s="8" t="s">
        <v>158</v>
      </c>
      <c r="H23" s="26"/>
      <c r="I23" s="44" t="str">
        <f>_xlfn.XLOOKUP($A23,Sheet3!$J:$J,Sheet3!$K:$K)</f>
        <v>000001936</v>
      </c>
      <c r="K23" s="8" t="s">
        <v>159</v>
      </c>
      <c r="L23" s="43" t="s">
        <v>160</v>
      </c>
    </row>
    <row r="24" spans="1:12">
      <c r="A24" s="15" t="s">
        <v>161</v>
      </c>
      <c r="B24" s="15" t="s">
        <v>123</v>
      </c>
      <c r="C24" s="15">
        <v>1</v>
      </c>
      <c r="D24" s="15" t="str">
        <f>_xlfn.XLOOKUP($A24,Sheet3!$P:$P,Sheet3!$Q:$Q)</f>
        <v/>
      </c>
      <c r="E24" s="44" t="str">
        <f>_xlfn.XLOOKUP($A24,Sheet3!$D:$D,Sheet3!$E:$E)</f>
        <v/>
      </c>
      <c r="F24" t="s">
        <v>90</v>
      </c>
      <c r="G24" t="s">
        <v>133</v>
      </c>
      <c r="H24" s="15"/>
      <c r="I24" s="44" t="str">
        <f>_xlfn.XLOOKUP($A24,Sheet3!$J:$J,Sheet3!$K:$K)</f>
        <v/>
      </c>
      <c r="K24" t="s">
        <v>125</v>
      </c>
      <c r="L24" s="10" t="s">
        <v>87</v>
      </c>
    </row>
    <row r="25" spans="1:12" ht="130.5">
      <c r="A25" s="17" t="s">
        <v>162</v>
      </c>
      <c r="B25" s="17" t="s">
        <v>163</v>
      </c>
      <c r="C25" s="17">
        <v>11</v>
      </c>
      <c r="D25" s="15" t="str">
        <f>_xlfn.XLOOKUP($A25,Sheet3!$P:$P,Sheet3!$Q:$Q)</f>
        <v>00000013900</v>
      </c>
      <c r="E25" s="44" t="str">
        <f>_xlfn.XLOOKUP($A25,Sheet3!$D:$D,Sheet3!$E:$E)</f>
        <v>00000000996</v>
      </c>
      <c r="F25" s="3" t="s">
        <v>90</v>
      </c>
      <c r="G25" s="8" t="s">
        <v>164</v>
      </c>
      <c r="H25" s="26"/>
      <c r="I25" s="44" t="str">
        <f>_xlfn.XLOOKUP($A25,Sheet3!$J:$J,Sheet3!$K:$K)</f>
        <v>00000001936</v>
      </c>
      <c r="K25" s="8" t="s">
        <v>159</v>
      </c>
      <c r="L25" s="43" t="s">
        <v>160</v>
      </c>
    </row>
    <row r="26" spans="1:12" ht="43.5">
      <c r="A26" s="17" t="s">
        <v>165</v>
      </c>
      <c r="B26" s="17" t="s">
        <v>123</v>
      </c>
      <c r="C26" s="17">
        <v>1</v>
      </c>
      <c r="D26" s="15" t="str">
        <f>_xlfn.XLOOKUP($A26,Sheet3!$P:$P,Sheet3!$Q:$Q)</f>
        <v/>
      </c>
      <c r="E26" s="44" t="str">
        <f>_xlfn.XLOOKUP($A26,Sheet3!$D:$D,Sheet3!$E:$E)</f>
        <v/>
      </c>
      <c r="F26" t="s">
        <v>90</v>
      </c>
      <c r="G26" s="62" t="s">
        <v>166</v>
      </c>
      <c r="H26" s="23"/>
      <c r="I26" s="44" t="str">
        <f>_xlfn.XLOOKUP($A26,Sheet3!$J:$J,Sheet3!$K:$K)</f>
        <v/>
      </c>
      <c r="K26" t="s">
        <v>167</v>
      </c>
      <c r="L26" s="10" t="s">
        <v>87</v>
      </c>
    </row>
    <row r="27" spans="1:12" ht="43.5">
      <c r="A27" s="15" t="s">
        <v>168</v>
      </c>
      <c r="B27" s="15" t="s">
        <v>169</v>
      </c>
      <c r="C27" s="15">
        <v>1</v>
      </c>
      <c r="D27" s="15" t="str">
        <f>_xlfn.XLOOKUP($A27,Sheet3!$P:$P,Sheet3!$Q:$Q)</f>
        <v>N</v>
      </c>
      <c r="E27" s="44" t="str">
        <f>_xlfn.XLOOKUP($A27,Sheet3!$D:$D,Sheet3!$E:$E)</f>
        <v>N</v>
      </c>
      <c r="F27" t="s">
        <v>90</v>
      </c>
      <c r="G27" s="62" t="s">
        <v>170</v>
      </c>
      <c r="H27" s="23"/>
      <c r="I27" s="44" t="str">
        <f>_xlfn.XLOOKUP($A27,Sheet3!$J:$J,Sheet3!$K:$K)</f>
        <v>N</v>
      </c>
      <c r="K27" t="s">
        <v>90</v>
      </c>
      <c r="L27" t="s">
        <v>171</v>
      </c>
    </row>
    <row r="28" spans="1:12" ht="43.5">
      <c r="A28" s="15" t="s">
        <v>172</v>
      </c>
      <c r="B28" s="15" t="s">
        <v>173</v>
      </c>
      <c r="C28" s="15">
        <v>1</v>
      </c>
      <c r="D28" s="15" t="str">
        <f>_xlfn.XLOOKUP($A28,Sheet3!$P:$P,Sheet3!$Q:$Q)</f>
        <v>N</v>
      </c>
      <c r="E28" s="44" t="str">
        <f>_xlfn.XLOOKUP($A28,Sheet3!$D:$D,Sheet3!$E:$E)</f>
        <v>N</v>
      </c>
      <c r="F28" t="s">
        <v>90</v>
      </c>
      <c r="G28" s="62" t="s">
        <v>174</v>
      </c>
      <c r="H28" s="23"/>
      <c r="I28" s="44" t="str">
        <f>_xlfn.XLOOKUP($A28,Sheet3!$J:$J,Sheet3!$K:$K)</f>
        <v>N</v>
      </c>
      <c r="K28" t="s">
        <v>90</v>
      </c>
      <c r="L28" t="s">
        <v>171</v>
      </c>
    </row>
    <row r="29" spans="1:12" ht="43.5">
      <c r="A29" s="15" t="s">
        <v>175</v>
      </c>
      <c r="B29" s="15" t="s">
        <v>176</v>
      </c>
      <c r="C29" s="15">
        <v>1</v>
      </c>
      <c r="D29" s="15" t="str">
        <f>_xlfn.XLOOKUP($A29,Sheet3!$P:$P,Sheet3!$Q:$Q)</f>
        <v>Y</v>
      </c>
      <c r="E29" s="44" t="str">
        <f>_xlfn.XLOOKUP($A29,Sheet3!$D:$D,Sheet3!$E:$E)</f>
        <v>Y</v>
      </c>
      <c r="F29" t="s">
        <v>90</v>
      </c>
      <c r="G29" s="62" t="s">
        <v>177</v>
      </c>
      <c r="H29" s="23"/>
      <c r="I29" s="44" t="str">
        <f>_xlfn.XLOOKUP($A29,Sheet3!$J:$J,Sheet3!$K:$K)</f>
        <v>N</v>
      </c>
      <c r="K29" t="s">
        <v>90</v>
      </c>
      <c r="L29" t="s">
        <v>171</v>
      </c>
    </row>
    <row r="30" spans="1:12" ht="43.5">
      <c r="A30" s="15" t="s">
        <v>178</v>
      </c>
      <c r="B30" s="15" t="s">
        <v>179</v>
      </c>
      <c r="C30" s="15">
        <v>1</v>
      </c>
      <c r="D30" s="15" t="str">
        <f>_xlfn.XLOOKUP($A30,Sheet3!$P:$P,Sheet3!$Q:$Q)</f>
        <v>N</v>
      </c>
      <c r="E30" s="44" t="str">
        <f>_xlfn.XLOOKUP($A30,Sheet3!$D:$D,Sheet3!$E:$E)</f>
        <v>N</v>
      </c>
      <c r="F30" t="s">
        <v>90</v>
      </c>
      <c r="G30" s="65" t="s">
        <v>180</v>
      </c>
      <c r="H30" s="27"/>
      <c r="I30" s="44" t="str">
        <f>_xlfn.XLOOKUP($A30,Sheet3!$J:$J,Sheet3!$K:$K)</f>
        <v>N</v>
      </c>
      <c r="K30" t="s">
        <v>90</v>
      </c>
      <c r="L30" t="s">
        <v>171</v>
      </c>
    </row>
    <row r="31" spans="1:12">
      <c r="A31" s="17" t="s">
        <v>181</v>
      </c>
      <c r="B31" s="17" t="s">
        <v>182</v>
      </c>
      <c r="C31" s="17">
        <v>1</v>
      </c>
      <c r="D31" s="15" t="str">
        <f>_xlfn.XLOOKUP($A31,Sheet3!$P:$P,Sheet3!$Q:$Q)</f>
        <v/>
      </c>
      <c r="E31" s="44" t="str">
        <f>_xlfn.XLOOKUP($A31,Sheet3!$D:$D,Sheet3!$E:$E)</f>
        <v/>
      </c>
      <c r="F31" t="s">
        <v>90</v>
      </c>
      <c r="G31" t="s">
        <v>133</v>
      </c>
      <c r="H31" s="15"/>
      <c r="I31" s="44" t="str">
        <f>_xlfn.XLOOKUP($A31,Sheet3!$J:$J,Sheet3!$K:$K)</f>
        <v/>
      </c>
      <c r="K31" t="s">
        <v>90</v>
      </c>
      <c r="L31" s="10" t="s">
        <v>87</v>
      </c>
    </row>
    <row r="32" spans="1:12">
      <c r="A32" s="17" t="s">
        <v>183</v>
      </c>
      <c r="B32" s="17" t="s">
        <v>184</v>
      </c>
      <c r="C32" s="17">
        <v>16</v>
      </c>
      <c r="D32" s="15" t="str">
        <f>_xlfn.XLOOKUP($A32,Sheet3!$P:$P,Sheet3!$Q:$Q)</f>
        <v/>
      </c>
      <c r="E32" s="44" t="str">
        <f>_xlfn.XLOOKUP($A32,Sheet3!$D:$D,Sheet3!$E:$E)</f>
        <v/>
      </c>
      <c r="F32" t="s">
        <v>90</v>
      </c>
      <c r="G32" t="s">
        <v>185</v>
      </c>
      <c r="H32" s="15"/>
      <c r="I32" s="44" t="str">
        <f>_xlfn.XLOOKUP($A32,Sheet3!$J:$J,Sheet3!$K:$K)</f>
        <v/>
      </c>
      <c r="K32" t="s">
        <v>90</v>
      </c>
      <c r="L32" s="10" t="s">
        <v>87</v>
      </c>
    </row>
    <row r="33" spans="1:12" s="57" customFormat="1" ht="43.5">
      <c r="A33" s="58" t="s">
        <v>186</v>
      </c>
      <c r="B33" s="58" t="s">
        <v>187</v>
      </c>
      <c r="C33" s="58">
        <v>13</v>
      </c>
      <c r="D33" s="15" t="str">
        <f>_xlfn.XLOOKUP($A33,Sheet3!$P:$P,Sheet3!$Q:$Q)</f>
        <v>0000000000000</v>
      </c>
      <c r="E33" s="44" t="str">
        <f>_xlfn.XLOOKUP($A33,Sheet3!$D:$D,Sheet3!$E:$E)</f>
        <v>0000000000000</v>
      </c>
      <c r="F33" s="66" t="s">
        <v>189</v>
      </c>
      <c r="G33" s="5" t="s">
        <v>190</v>
      </c>
      <c r="H33" s="55"/>
      <c r="I33" s="44" t="str">
        <f>_xlfn.XLOOKUP($A33,Sheet3!$J:$J,Sheet3!$K:$K)</f>
        <v>0000000000000</v>
      </c>
      <c r="J33" s="54"/>
      <c r="K33" t="s">
        <v>90</v>
      </c>
      <c r="L33" t="s">
        <v>191</v>
      </c>
    </row>
    <row r="34" spans="1:12" ht="130.5">
      <c r="A34" s="17" t="s">
        <v>192</v>
      </c>
      <c r="B34" s="17" t="s">
        <v>193</v>
      </c>
      <c r="C34" s="17">
        <v>5</v>
      </c>
      <c r="D34" s="15" t="str">
        <f>_xlfn.XLOOKUP($A34,Sheet3!$P:$P,Sheet3!$Q:$Q)</f>
        <v>00085</v>
      </c>
      <c r="E34" s="44" t="str">
        <f>_xlfn.XLOOKUP($A34,Sheet3!$D:$D,Sheet3!$E:$E)</f>
        <v>00085</v>
      </c>
      <c r="F34" s="67" t="s">
        <v>195</v>
      </c>
      <c r="G34" s="64" t="s">
        <v>196</v>
      </c>
      <c r="H34" s="25"/>
      <c r="I34" s="44" t="str">
        <f>_xlfn.XLOOKUP($A34,Sheet3!$J:$J,Sheet3!$K:$K)</f>
        <v>00085</v>
      </c>
      <c r="J34" s="19"/>
      <c r="K34" t="s">
        <v>87</v>
      </c>
      <c r="L34" s="8" t="s">
        <v>87</v>
      </c>
    </row>
    <row r="35" spans="1:12">
      <c r="A35" s="17" t="s">
        <v>197</v>
      </c>
      <c r="B35" s="17" t="s">
        <v>198</v>
      </c>
      <c r="C35" s="17">
        <v>1</v>
      </c>
      <c r="D35" s="15" t="str">
        <f>_xlfn.XLOOKUP($A35,Sheet3!$P:$P,Sheet3!$Q:$Q)</f>
        <v/>
      </c>
      <c r="E35" s="44" t="str">
        <f>_xlfn.XLOOKUP($A35,Sheet3!$D:$D,Sheet3!$E:$E)</f>
        <v/>
      </c>
      <c r="F35" t="s">
        <v>90</v>
      </c>
      <c r="G35" t="s">
        <v>133</v>
      </c>
      <c r="H35" s="15"/>
      <c r="I35" s="44" t="str">
        <f>_xlfn.XLOOKUP($A35,Sheet3!$J:$J,Sheet3!$K:$K)</f>
        <v/>
      </c>
      <c r="K35" t="s">
        <v>90</v>
      </c>
      <c r="L35" s="8" t="s">
        <v>87</v>
      </c>
    </row>
    <row r="36" spans="1:12" s="9" customFormat="1" ht="72.5">
      <c r="A36" s="60">
        <v>2</v>
      </c>
      <c r="B36" s="60" t="s">
        <v>199</v>
      </c>
      <c r="C36" s="60">
        <v>10</v>
      </c>
      <c r="D36" s="15" t="e">
        <f>_xlfn.XLOOKUP($A36,Sheet3!$P:$P,Sheet3!$Q:$Q)</f>
        <v>#N/A</v>
      </c>
      <c r="E36" s="44" t="e">
        <f>_xlfn.XLOOKUP($A36,Sheet3!$D:$D,Sheet3!$E:$E)</f>
        <v>#N/A</v>
      </c>
      <c r="F36" s="67" t="s">
        <v>201</v>
      </c>
      <c r="G36" s="68" t="s">
        <v>202</v>
      </c>
      <c r="H36" s="60" t="s">
        <v>200</v>
      </c>
      <c r="I36" s="44" t="e">
        <f>_xlfn.XLOOKUP($A36,Sheet3!$J:$J,Sheet3!$K:$K)</f>
        <v>#N/A</v>
      </c>
      <c r="J36" s="61"/>
      <c r="K36" t="s">
        <v>90</v>
      </c>
      <c r="L36" s="72" t="s">
        <v>203</v>
      </c>
    </row>
    <row r="37" spans="1:12">
      <c r="A37" s="15" t="s">
        <v>204</v>
      </c>
      <c r="B37" s="15" t="s">
        <v>205</v>
      </c>
      <c r="C37" s="15">
        <v>35</v>
      </c>
      <c r="D37" s="15" t="str">
        <f>_xlfn.XLOOKUP($A37,Sheet3!$P:$P,Sheet3!$Q:$Q)</f>
        <v/>
      </c>
      <c r="E37" s="44" t="str">
        <f>_xlfn.XLOOKUP($A37,Sheet3!$D:$D,Sheet3!$E:$E)</f>
        <v/>
      </c>
      <c r="F37" t="s">
        <v>90</v>
      </c>
      <c r="G37" t="s">
        <v>133</v>
      </c>
      <c r="H37" s="15"/>
      <c r="I37" s="44" t="str">
        <f>_xlfn.XLOOKUP($A37,Sheet3!$J:$J,Sheet3!$K:$K)</f>
        <v/>
      </c>
      <c r="K37" t="s">
        <v>90</v>
      </c>
      <c r="L37" t="s">
        <v>125</v>
      </c>
    </row>
    <row r="38" spans="1:12" ht="29">
      <c r="A38" s="15" t="s">
        <v>206</v>
      </c>
      <c r="B38" s="15" t="s">
        <v>207</v>
      </c>
      <c r="C38" s="15">
        <v>10</v>
      </c>
      <c r="D38" s="15" t="str">
        <f>_xlfn.XLOOKUP($A38,Sheet3!$P:$P,Sheet3!$Q:$Q)</f>
        <v/>
      </c>
      <c r="E38" s="44" t="str">
        <f>_xlfn.XLOOKUP($A38,Sheet3!$D:$D,Sheet3!$E:$E)</f>
        <v/>
      </c>
      <c r="F38" s="11" t="s">
        <v>208</v>
      </c>
      <c r="G38" s="7" t="s">
        <v>209</v>
      </c>
      <c r="H38" s="28"/>
      <c r="I38" s="44" t="str">
        <f>_xlfn.XLOOKUP($A38,Sheet3!$J:$J,Sheet3!$K:$K)</f>
        <v/>
      </c>
      <c r="K38" t="s">
        <v>87</v>
      </c>
      <c r="L38" s="3" t="s">
        <v>87</v>
      </c>
    </row>
    <row r="39" spans="1:12" ht="130.5">
      <c r="A39" s="17" t="s">
        <v>210</v>
      </c>
      <c r="B39" s="17" t="s">
        <v>211</v>
      </c>
      <c r="C39" s="17">
        <v>16</v>
      </c>
      <c r="D39" s="15" t="str">
        <f>_xlfn.XLOOKUP($A39,Sheet3!$P:$P,Sheet3!$Q:$Q)</f>
        <v/>
      </c>
      <c r="E39" s="44" t="str">
        <f>_xlfn.XLOOKUP($A39,Sheet3!$D:$D,Sheet3!$E:$E)</f>
        <v/>
      </c>
      <c r="F39" s="8" t="s">
        <v>212</v>
      </c>
      <c r="G39" s="69" t="s">
        <v>213</v>
      </c>
      <c r="H39" s="26"/>
      <c r="I39" s="44" t="str">
        <f>_xlfn.XLOOKUP($A39,Sheet3!$J:$J,Sheet3!$K:$K)</f>
        <v/>
      </c>
      <c r="K39" t="s">
        <v>90</v>
      </c>
      <c r="L39" s="3" t="s">
        <v>125</v>
      </c>
    </row>
    <row r="40" spans="1:12">
      <c r="A40" s="15" t="s">
        <v>214</v>
      </c>
      <c r="B40" s="15" t="s">
        <v>215</v>
      </c>
      <c r="C40" s="15">
        <v>5</v>
      </c>
      <c r="D40" s="15" t="str">
        <f>_xlfn.XLOOKUP($A40,Sheet3!$P:$P,Sheet3!$Q:$Q)</f>
        <v>00000</v>
      </c>
      <c r="E40" s="44" t="str">
        <f>_xlfn.XLOOKUP($A40,Sheet3!$D:$D,Sheet3!$E:$E)</f>
        <v>00000</v>
      </c>
      <c r="F40" t="s">
        <v>90</v>
      </c>
      <c r="G40" s="5" t="s">
        <v>216</v>
      </c>
      <c r="I40" s="44" t="str">
        <f>_xlfn.XLOOKUP($A40,Sheet3!$J:$J,Sheet3!$K:$K)</f>
        <v>00000</v>
      </c>
      <c r="K40" t="s">
        <v>90</v>
      </c>
      <c r="L40" t="s">
        <v>87</v>
      </c>
    </row>
    <row r="41" spans="1:12">
      <c r="A41" s="15" t="s">
        <v>217</v>
      </c>
      <c r="B41" s="15" t="s">
        <v>218</v>
      </c>
      <c r="C41" s="15">
        <v>5</v>
      </c>
      <c r="D41" s="15" t="str">
        <f>_xlfn.XLOOKUP($A41,Sheet3!$P:$P,Sheet3!$Q:$Q)</f>
        <v>00000</v>
      </c>
      <c r="E41" s="44" t="str">
        <f>_xlfn.XLOOKUP($A41,Sheet3!$D:$D,Sheet3!$E:$E)</f>
        <v>00000</v>
      </c>
      <c r="F41" t="s">
        <v>90</v>
      </c>
      <c r="G41" s="5" t="s">
        <v>219</v>
      </c>
      <c r="I41" s="44" t="str">
        <f>_xlfn.XLOOKUP($A41,Sheet3!$J:$J,Sheet3!$K:$K)</f>
        <v>00000</v>
      </c>
      <c r="K41" t="s">
        <v>90</v>
      </c>
      <c r="L41" t="s">
        <v>87</v>
      </c>
    </row>
    <row r="42" spans="1:12">
      <c r="A42" s="15" t="s">
        <v>220</v>
      </c>
      <c r="B42" s="15" t="s">
        <v>221</v>
      </c>
      <c r="C42" s="15">
        <v>9</v>
      </c>
      <c r="D42" s="15" t="str">
        <f>_xlfn.XLOOKUP($A42,Sheet3!$P:$P,Sheet3!$Q:$Q)</f>
        <v>000000000</v>
      </c>
      <c r="E42" s="44" t="str">
        <f>_xlfn.XLOOKUP($A42,Sheet3!$D:$D,Sheet3!$E:$E)</f>
        <v>000000000</v>
      </c>
      <c r="F42" t="s">
        <v>90</v>
      </c>
      <c r="G42" s="5" t="s">
        <v>222</v>
      </c>
      <c r="I42" s="44" t="str">
        <f>_xlfn.XLOOKUP($A42,Sheet3!$J:$J,Sheet3!$K:$K)</f>
        <v>000000000</v>
      </c>
      <c r="K42" t="s">
        <v>90</v>
      </c>
      <c r="L42" t="s">
        <v>87</v>
      </c>
    </row>
    <row r="43" spans="1:12">
      <c r="A43" s="15" t="s">
        <v>223</v>
      </c>
      <c r="B43" s="15" t="s">
        <v>224</v>
      </c>
      <c r="C43" s="15">
        <v>1</v>
      </c>
      <c r="D43" s="15" t="str">
        <f>_xlfn.XLOOKUP($A43,Sheet3!$P:$P,Sheet3!$Q:$Q)</f>
        <v/>
      </c>
      <c r="E43" s="44" t="str">
        <f>_xlfn.XLOOKUP($A43,Sheet3!$D:$D,Sheet3!$E:$E)</f>
        <v/>
      </c>
      <c r="F43" t="s">
        <v>90</v>
      </c>
      <c r="G43" s="5" t="s">
        <v>225</v>
      </c>
      <c r="I43" s="44" t="str">
        <f>_xlfn.XLOOKUP($A43,Sheet3!$J:$J,Sheet3!$K:$K)</f>
        <v/>
      </c>
      <c r="K43" t="s">
        <v>90</v>
      </c>
      <c r="L43" t="s">
        <v>87</v>
      </c>
    </row>
    <row r="44" spans="1:12">
      <c r="A44" s="15" t="s">
        <v>226</v>
      </c>
      <c r="B44" s="15" t="s">
        <v>227</v>
      </c>
      <c r="C44" s="15">
        <v>2</v>
      </c>
      <c r="D44" s="15" t="str">
        <f>_xlfn.XLOOKUP($A44,Sheet3!$P:$P,Sheet3!$Q:$Q)</f>
        <v>00</v>
      </c>
      <c r="E44" s="44" t="str">
        <f>_xlfn.XLOOKUP($A44,Sheet3!$D:$D,Sheet3!$E:$E)</f>
        <v>00</v>
      </c>
      <c r="F44" t="s">
        <v>90</v>
      </c>
      <c r="G44" s="5" t="s">
        <v>228</v>
      </c>
      <c r="I44" s="44" t="str">
        <f>_xlfn.XLOOKUP($A44,Sheet3!$J:$J,Sheet3!$K:$K)</f>
        <v>00</v>
      </c>
      <c r="K44" t="s">
        <v>90</v>
      </c>
      <c r="L44" t="s">
        <v>87</v>
      </c>
    </row>
    <row r="45" spans="1:12" ht="43.5">
      <c r="A45" s="16" t="s">
        <v>229</v>
      </c>
      <c r="B45" s="18" t="s">
        <v>230</v>
      </c>
      <c r="C45" s="16">
        <v>2</v>
      </c>
      <c r="D45" s="15" t="str">
        <f>_xlfn.XLOOKUP($A45,Sheet3!$P:$P,Sheet3!$Q:$Q)</f>
        <v>00</v>
      </c>
      <c r="E45" s="44" t="str">
        <f>_xlfn.XLOOKUP($A45,Sheet3!$D:$D,Sheet3!$E:$E)</f>
        <v>00</v>
      </c>
      <c r="F45" s="70" t="s">
        <v>90</v>
      </c>
      <c r="G45" s="5" t="s">
        <v>231</v>
      </c>
      <c r="I45" s="44" t="str">
        <f>_xlfn.XLOOKUP($A45,Sheet3!$J:$J,Sheet3!$K:$K)</f>
        <v>00</v>
      </c>
      <c r="K45" t="s">
        <v>90</v>
      </c>
      <c r="L45" t="s">
        <v>232</v>
      </c>
    </row>
    <row r="46" spans="1:12" s="57" customFormat="1" ht="58">
      <c r="A46" s="53" t="s">
        <v>233</v>
      </c>
      <c r="B46" s="53" t="s">
        <v>234</v>
      </c>
      <c r="C46" s="53">
        <v>1</v>
      </c>
      <c r="D46" s="15" t="str">
        <f>_xlfn.XLOOKUP($A46,Sheet3!$P:$P,Sheet3!$Q:$Q)</f>
        <v>N</v>
      </c>
      <c r="E46" s="44" t="str">
        <f>_xlfn.XLOOKUP($A46,Sheet3!$D:$D,Sheet3!$E:$E)</f>
        <v>N</v>
      </c>
      <c r="F46" s="3" t="s">
        <v>90</v>
      </c>
      <c r="G46" s="66" t="s">
        <v>235</v>
      </c>
      <c r="H46" s="59" t="s">
        <v>188</v>
      </c>
      <c r="I46" s="44" t="str">
        <f>_xlfn.XLOOKUP($A46,Sheet3!$J:$J,Sheet3!$K:$K)</f>
        <v>N</v>
      </c>
      <c r="J46" s="54"/>
      <c r="K46" t="s">
        <v>90</v>
      </c>
      <c r="L46" s="3" t="s">
        <v>125</v>
      </c>
    </row>
    <row r="47" spans="1:12" ht="87">
      <c r="A47" s="15" t="s">
        <v>236</v>
      </c>
      <c r="B47" s="15" t="s">
        <v>237</v>
      </c>
      <c r="C47" s="15">
        <v>6</v>
      </c>
      <c r="D47" s="15" t="str">
        <f>_xlfn.XLOOKUP($A47,Sheet3!$P:$P,Sheet3!$Q:$Q)</f>
        <v>ON</v>
      </c>
      <c r="E47" s="44" t="str">
        <f>_xlfn.XLOOKUP($A47,Sheet3!$D:$D,Sheet3!$E:$E)</f>
        <v>ON</v>
      </c>
      <c r="F47" t="s">
        <v>90</v>
      </c>
      <c r="G47" s="7" t="s">
        <v>225</v>
      </c>
      <c r="H47" s="28"/>
      <c r="I47" s="44" t="str">
        <f>_xlfn.XLOOKUP($A47,Sheet3!$J:$J,Sheet3!$K:$K)</f>
        <v>HON</v>
      </c>
      <c r="K47" s="12" t="s">
        <v>238</v>
      </c>
      <c r="L47" s="72" t="s">
        <v>239</v>
      </c>
    </row>
    <row r="48" spans="1:12" s="57" customFormat="1" ht="87">
      <c r="A48" s="53" t="s">
        <v>240</v>
      </c>
      <c r="B48" s="53" t="s">
        <v>241</v>
      </c>
      <c r="C48" s="53">
        <v>6</v>
      </c>
      <c r="D48" s="15" t="str">
        <f>_xlfn.XLOOKUP($A48,Sheet3!$P:$P,Sheet3!$Q:$Q)</f>
        <v/>
      </c>
      <c r="E48" s="44" t="str">
        <f>_xlfn.XLOOKUP($A48,Sheet3!$D:$D,Sheet3!$E:$E)</f>
        <v/>
      </c>
      <c r="F48" t="s">
        <v>90</v>
      </c>
      <c r="G48" s="7" t="s">
        <v>225</v>
      </c>
      <c r="H48" s="56" t="s">
        <v>194</v>
      </c>
      <c r="I48" s="44" t="str">
        <f>_xlfn.XLOOKUP($A48,Sheet3!$J:$J,Sheet3!$K:$K)</f>
        <v>HST</v>
      </c>
      <c r="J48" s="54"/>
      <c r="K48" s="12" t="s">
        <v>242</v>
      </c>
      <c r="L48" s="73" t="s">
        <v>243</v>
      </c>
    </row>
    <row r="49" spans="1:12">
      <c r="A49" s="15" t="s">
        <v>244</v>
      </c>
      <c r="B49" s="15" t="s">
        <v>245</v>
      </c>
      <c r="C49" s="15">
        <v>20</v>
      </c>
      <c r="D49" s="15" t="str">
        <f>_xlfn.XLOOKUP($A49,Sheet3!$P:$P,Sheet3!$Q:$Q)</f>
        <v/>
      </c>
      <c r="E49" s="44" t="str">
        <f>_xlfn.XLOOKUP($A49,Sheet3!$D:$D,Sheet3!$E:$E)</f>
        <v/>
      </c>
      <c r="F49" t="s">
        <v>90</v>
      </c>
      <c r="G49" s="5" t="s">
        <v>225</v>
      </c>
      <c r="I49" s="44" t="str">
        <f>_xlfn.XLOOKUP($A49,Sheet3!$J:$J,Sheet3!$K:$K)</f>
        <v/>
      </c>
      <c r="K49" s="5" t="s">
        <v>225</v>
      </c>
      <c r="L49" s="5" t="s">
        <v>225</v>
      </c>
    </row>
    <row r="50" spans="1:12">
      <c r="A50" s="15" t="s">
        <v>246</v>
      </c>
      <c r="B50" s="15" t="s">
        <v>247</v>
      </c>
      <c r="C50" s="15">
        <v>20</v>
      </c>
      <c r="D50" s="15" t="str">
        <f>_xlfn.XLOOKUP($A50,Sheet3!$P:$P,Sheet3!$Q:$Q)</f>
        <v/>
      </c>
      <c r="E50" s="44" t="str">
        <f>_xlfn.XLOOKUP($A50,Sheet3!$D:$D,Sheet3!$E:$E)</f>
        <v/>
      </c>
      <c r="F50" t="s">
        <v>90</v>
      </c>
      <c r="G50" s="5" t="s">
        <v>225</v>
      </c>
      <c r="I50" s="44" t="str">
        <f>_xlfn.XLOOKUP($A50,Sheet3!$J:$J,Sheet3!$K:$K)</f>
        <v/>
      </c>
      <c r="K50" s="5" t="s">
        <v>225</v>
      </c>
      <c r="L50" s="5" t="s">
        <v>225</v>
      </c>
    </row>
    <row r="51" spans="1:12">
      <c r="A51" s="15" t="s">
        <v>248</v>
      </c>
      <c r="B51" s="15" t="s">
        <v>249</v>
      </c>
      <c r="C51" s="15">
        <v>35</v>
      </c>
      <c r="D51" s="15" t="str">
        <f>_xlfn.XLOOKUP($A51,Sheet3!$P:$P,Sheet3!$Q:$Q)</f>
        <v/>
      </c>
      <c r="E51" s="44" t="str">
        <f>_xlfn.XLOOKUP($A51,Sheet3!$D:$D,Sheet3!$E:$E)</f>
        <v/>
      </c>
      <c r="F51" t="s">
        <v>90</v>
      </c>
      <c r="G51" s="5" t="s">
        <v>225</v>
      </c>
      <c r="I51" s="44" t="str">
        <f>_xlfn.XLOOKUP($A51,Sheet3!$J:$J,Sheet3!$K:$K)</f>
        <v/>
      </c>
      <c r="K51" s="5" t="s">
        <v>225</v>
      </c>
      <c r="L51" s="5" t="s">
        <v>225</v>
      </c>
    </row>
    <row r="52" spans="1:12" ht="159.5">
      <c r="A52" s="16" t="s">
        <v>250</v>
      </c>
      <c r="B52" s="16" t="s">
        <v>53</v>
      </c>
      <c r="C52" s="16">
        <v>4</v>
      </c>
      <c r="D52" s="87" t="str">
        <f>_xlfn.XLOOKUP($A52,Sheet3!$P:$P,Sheet3!$Q:$Q)</f>
        <v>REG</v>
      </c>
      <c r="E52" s="99" t="str">
        <f>_xlfn.XLOOKUP($A52,Sheet3!$D:$D,Sheet3!$E:$E)</f>
        <v>REG</v>
      </c>
      <c r="F52" s="71" t="s">
        <v>251</v>
      </c>
      <c r="G52" s="5" t="s">
        <v>252</v>
      </c>
      <c r="I52" s="44" t="str">
        <f>_xlfn.XLOOKUP($A52,Sheet3!$J:$J,Sheet3!$K:$K)</f>
        <v/>
      </c>
      <c r="K52" s="5" t="s">
        <v>225</v>
      </c>
      <c r="L52" s="5" t="s">
        <v>225</v>
      </c>
    </row>
    <row r="53" spans="1:12" ht="159.5">
      <c r="A53" s="16" t="s">
        <v>253</v>
      </c>
      <c r="B53" s="16" t="s">
        <v>254</v>
      </c>
      <c r="C53" s="16">
        <v>12</v>
      </c>
      <c r="D53" s="87" t="str">
        <f>_xlfn.XLOOKUP($A53,Sheet3!$P:$P,Sheet3!$Q:$Q)</f>
        <v>ORG</v>
      </c>
      <c r="E53" s="99" t="str">
        <f>_xlfn.XLOOKUP($A53,Sheet3!$D:$D,Sheet3!$E:$E)</f>
        <v>ORG</v>
      </c>
      <c r="F53" t="s">
        <v>90</v>
      </c>
      <c r="G53" s="5" t="s">
        <v>255</v>
      </c>
      <c r="I53" s="44" t="str">
        <f>_xlfn.XLOOKUP($A53,Sheet3!$J:$J,Sheet3!$K:$K)</f>
        <v/>
      </c>
      <c r="K53" s="5"/>
      <c r="L53" s="5" t="s">
        <v>225</v>
      </c>
    </row>
    <row r="54" spans="1:12" ht="29">
      <c r="A54" s="15" t="s">
        <v>256</v>
      </c>
      <c r="B54" s="15" t="s">
        <v>257</v>
      </c>
      <c r="C54" s="15">
        <v>9</v>
      </c>
      <c r="D54" s="15" t="str">
        <f>_xlfn.XLOOKUP($A54,Sheet3!$P:$P,Sheet3!$Q:$Q)</f>
        <v>000013900</v>
      </c>
      <c r="E54" s="44" t="str">
        <f>_xlfn.XLOOKUP($A54,Sheet3!$D:$D,Sheet3!$E:$E)</f>
        <v>000000083</v>
      </c>
      <c r="F54" s="5" t="s">
        <v>129</v>
      </c>
      <c r="G54" s="5" t="s">
        <v>109</v>
      </c>
      <c r="I54" s="44" t="str">
        <f>_xlfn.XLOOKUP($A54,Sheet3!$J:$J,Sheet3!$K:$K)</f>
        <v>000000000</v>
      </c>
      <c r="K54" s="5"/>
      <c r="L54" s="5" t="s">
        <v>258</v>
      </c>
    </row>
    <row r="55" spans="1:12">
      <c r="A55" s="15" t="s">
        <v>259</v>
      </c>
      <c r="B55" s="15" t="s">
        <v>123</v>
      </c>
      <c r="C55" s="15">
        <v>1</v>
      </c>
      <c r="D55" s="15" t="str">
        <f>_xlfn.XLOOKUP($A55,Sheet3!$P:$P,Sheet3!$Q:$Q)</f>
        <v/>
      </c>
      <c r="E55" s="44" t="str">
        <f>_xlfn.XLOOKUP($A55,Sheet3!$D:$D,Sheet3!$E:$E)</f>
        <v/>
      </c>
      <c r="F55" t="s">
        <v>90</v>
      </c>
      <c r="G55" t="s">
        <v>133</v>
      </c>
      <c r="H55" s="15"/>
      <c r="I55" s="44" t="str">
        <f>_xlfn.XLOOKUP($A55,Sheet3!$J:$J,Sheet3!$K:$K)</f>
        <v/>
      </c>
      <c r="K55" s="5"/>
      <c r="L55" s="5" t="s">
        <v>225</v>
      </c>
    </row>
    <row r="56" spans="1:12" ht="72.5">
      <c r="A56" s="15" t="s">
        <v>260</v>
      </c>
      <c r="B56" s="15" t="s">
        <v>261</v>
      </c>
      <c r="C56" s="15">
        <v>5</v>
      </c>
      <c r="D56" s="15" t="str">
        <f>_xlfn.XLOOKUP($A56,Sheet3!$P:$P,Sheet3!$Q:$Q)</f>
        <v>00000</v>
      </c>
      <c r="E56" s="44" t="str">
        <f>_xlfn.XLOOKUP($A56,Sheet3!$D:$D,Sheet3!$E:$E)</f>
        <v>00000</v>
      </c>
      <c r="F56" t="s">
        <v>262</v>
      </c>
      <c r="G56" s="5" t="s">
        <v>263</v>
      </c>
      <c r="I56" s="44" t="str">
        <f>_xlfn.XLOOKUP($A56,Sheet3!$J:$J,Sheet3!$K:$K)</f>
        <v>00000</v>
      </c>
      <c r="L56" t="s">
        <v>264</v>
      </c>
    </row>
    <row r="57" spans="1:12" ht="72.5">
      <c r="A57" s="15" t="s">
        <v>265</v>
      </c>
      <c r="B57" s="15" t="s">
        <v>266</v>
      </c>
      <c r="C57" s="15">
        <v>6</v>
      </c>
      <c r="D57" s="15" t="str">
        <f>_xlfn.XLOOKUP($A57,Sheet3!$P:$P,Sheet3!$Q:$Q)</f>
        <v>000000</v>
      </c>
      <c r="E57" s="44" t="str">
        <f>_xlfn.XLOOKUP($A57,Sheet3!$D:$D,Sheet3!$E:$E)</f>
        <v>000000</v>
      </c>
      <c r="F57" t="s">
        <v>267</v>
      </c>
      <c r="G57" s="5" t="s">
        <v>268</v>
      </c>
      <c r="I57" s="44" t="str">
        <f>_xlfn.XLOOKUP($A57,Sheet3!$J:$J,Sheet3!$K:$K)</f>
        <v>000000</v>
      </c>
      <c r="L57" t="s">
        <v>269</v>
      </c>
    </row>
    <row r="58" spans="1:12" ht="72.5">
      <c r="A58" s="15" t="s">
        <v>270</v>
      </c>
      <c r="B58" s="15" t="s">
        <v>271</v>
      </c>
      <c r="C58" s="15">
        <v>3</v>
      </c>
      <c r="D58" s="15" t="str">
        <f>_xlfn.XLOOKUP($A58,Sheet3!$P:$P,Sheet3!$Q:$Q)</f>
        <v>000</v>
      </c>
      <c r="E58" s="44" t="str">
        <f>_xlfn.XLOOKUP($A58,Sheet3!$D:$D,Sheet3!$E:$E)</f>
        <v>000</v>
      </c>
      <c r="F58" s="5" t="s">
        <v>101</v>
      </c>
      <c r="G58" s="5" t="s">
        <v>272</v>
      </c>
      <c r="I58" s="44" t="str">
        <f>_xlfn.XLOOKUP($A58,Sheet3!$J:$J,Sheet3!$K:$K)</f>
        <v>000</v>
      </c>
      <c r="L58" t="s">
        <v>273</v>
      </c>
    </row>
    <row r="59" spans="1:12" ht="72.5">
      <c r="A59" s="15" t="s">
        <v>274</v>
      </c>
      <c r="B59" s="15" t="s">
        <v>275</v>
      </c>
      <c r="C59" s="15">
        <v>5</v>
      </c>
      <c r="D59" s="15" t="str">
        <f>_xlfn.XLOOKUP($A59,Sheet3!$P:$P,Sheet3!$Q:$Q)</f>
        <v>00000</v>
      </c>
      <c r="E59" s="44" t="str">
        <f>_xlfn.XLOOKUP($A59,Sheet3!$D:$D,Sheet3!$E:$E)</f>
        <v>00000</v>
      </c>
      <c r="F59" t="s">
        <v>276</v>
      </c>
      <c r="G59" s="5" t="s">
        <v>263</v>
      </c>
      <c r="I59" s="44" t="str">
        <f>_xlfn.XLOOKUP($A59,Sheet3!$J:$J,Sheet3!$K:$K)</f>
        <v>00000</v>
      </c>
      <c r="L59" t="s">
        <v>264</v>
      </c>
    </row>
    <row r="60" spans="1:12">
      <c r="A60" s="15" t="s">
        <v>277</v>
      </c>
      <c r="B60" s="15" t="s">
        <v>278</v>
      </c>
      <c r="C60" s="15">
        <v>5</v>
      </c>
      <c r="D60" s="15" t="str">
        <f>_xlfn.XLOOKUP($A60,Sheet3!$P:$P,Sheet3!$Q:$Q)</f>
        <v>55010</v>
      </c>
      <c r="E60" s="44" t="str">
        <f>_xlfn.XLOOKUP($A60,Sheet3!$D:$D,Sheet3!$E:$E)</f>
        <v>55010</v>
      </c>
      <c r="F60" t="s">
        <v>279</v>
      </c>
      <c r="G60" t="s">
        <v>109</v>
      </c>
      <c r="H60" s="15"/>
      <c r="I60" s="44" t="str">
        <f>_xlfn.XLOOKUP($A60,Sheet3!$J:$J,Sheet3!$K:$K)</f>
        <v>55010</v>
      </c>
      <c r="L60" t="s">
        <v>87</v>
      </c>
    </row>
    <row r="61" spans="1:12">
      <c r="A61" s="15" t="s">
        <v>280</v>
      </c>
      <c r="B61" s="15" t="s">
        <v>281</v>
      </c>
      <c r="C61" s="15">
        <v>1</v>
      </c>
      <c r="D61" s="15" t="str">
        <f>_xlfn.XLOOKUP($A61,Sheet3!$P:$P,Sheet3!$Q:$Q)</f>
        <v>1</v>
      </c>
      <c r="E61" s="44" t="str">
        <f>_xlfn.XLOOKUP($A61,Sheet3!$D:$D,Sheet3!$E:$E)</f>
        <v>1</v>
      </c>
      <c r="F61" t="s">
        <v>90</v>
      </c>
      <c r="G61" t="s">
        <v>282</v>
      </c>
      <c r="H61" s="15"/>
      <c r="I61" s="44" t="str">
        <f>_xlfn.XLOOKUP($A61,Sheet3!$J:$J,Sheet3!$K:$K)</f>
        <v>1</v>
      </c>
      <c r="L61" t="s">
        <v>87</v>
      </c>
    </row>
    <row r="62" spans="1:12">
      <c r="A62" s="15" t="s">
        <v>283</v>
      </c>
      <c r="B62" s="15" t="s">
        <v>284</v>
      </c>
      <c r="C62" s="15">
        <v>6</v>
      </c>
      <c r="D62" s="15" t="str">
        <f>_xlfn.XLOOKUP($A62,Sheet3!$P:$P,Sheet3!$Q:$Q)</f>
        <v>260128</v>
      </c>
      <c r="E62" s="44" t="str">
        <f>_xlfn.XLOOKUP($A62,Sheet3!$D:$D,Sheet3!$E:$E)</f>
        <v>260128</v>
      </c>
      <c r="F62" s="2" t="s">
        <v>285</v>
      </c>
      <c r="G62" t="s">
        <v>286</v>
      </c>
      <c r="H62" s="15"/>
      <c r="I62" s="44" t="str">
        <f>_xlfn.XLOOKUP($A62,Sheet3!$J:$J,Sheet3!$K:$K)</f>
        <v>260128</v>
      </c>
      <c r="L62" t="s">
        <v>87</v>
      </c>
    </row>
    <row r="63" spans="1:12">
      <c r="A63" s="15" t="s">
        <v>287</v>
      </c>
      <c r="B63" s="15" t="s">
        <v>288</v>
      </c>
      <c r="C63" s="15">
        <v>1</v>
      </c>
      <c r="D63" s="15" t="str">
        <f>_xlfn.XLOOKUP($A63,Sheet3!$P:$P,Sheet3!$Q:$Q)</f>
        <v>1</v>
      </c>
      <c r="E63" s="44" t="str">
        <f>_xlfn.XLOOKUP($A63,Sheet3!$D:$D,Sheet3!$E:$E)</f>
        <v>1</v>
      </c>
      <c r="F63" t="s">
        <v>90</v>
      </c>
      <c r="G63" t="s">
        <v>282</v>
      </c>
      <c r="H63" s="15"/>
      <c r="I63" s="44" t="str">
        <f>_xlfn.XLOOKUP($A63,Sheet3!$J:$J,Sheet3!$K:$K)</f>
        <v>1</v>
      </c>
      <c r="L63" t="s">
        <v>87</v>
      </c>
    </row>
    <row r="64" spans="1:12" ht="101.5">
      <c r="A64" s="15" t="s">
        <v>289</v>
      </c>
      <c r="B64" s="15" t="s">
        <v>290</v>
      </c>
      <c r="C64" s="15">
        <v>6</v>
      </c>
      <c r="D64" s="15" t="str">
        <f>_xlfn.XLOOKUP($A64,Sheet3!$P:$P,Sheet3!$Q:$Q)</f>
        <v>260128</v>
      </c>
      <c r="E64" s="44" t="str">
        <f>_xlfn.XLOOKUP($A64,Sheet3!$D:$D,Sheet3!$E:$E)</f>
        <v>260128</v>
      </c>
      <c r="F64" s="5" t="s">
        <v>94</v>
      </c>
      <c r="G64" s="5" t="s">
        <v>95</v>
      </c>
      <c r="I64" s="44" t="str">
        <f>_xlfn.XLOOKUP($A64,Sheet3!$J:$J,Sheet3!$K:$K)</f>
        <v>260128</v>
      </c>
      <c r="L64" t="s">
        <v>87</v>
      </c>
    </row>
    <row r="65" spans="1:12" ht="101.5">
      <c r="A65" s="15" t="s">
        <v>291</v>
      </c>
      <c r="B65" s="15" t="s">
        <v>292</v>
      </c>
      <c r="C65" s="15">
        <v>6</v>
      </c>
      <c r="D65" s="15" t="str">
        <f>_xlfn.XLOOKUP($A65,Sheet3!$P:$P,Sheet3!$Q:$Q)</f>
        <v>144416</v>
      </c>
      <c r="E65" s="44" t="str">
        <f>_xlfn.XLOOKUP($A65,Sheet3!$D:$D,Sheet3!$E:$E)</f>
        <v>144416</v>
      </c>
      <c r="F65" s="5" t="s">
        <v>94</v>
      </c>
      <c r="G65" s="5" t="s">
        <v>98</v>
      </c>
      <c r="I65" s="44" t="str">
        <f>_xlfn.XLOOKUP($A65,Sheet3!$J:$J,Sheet3!$K:$K)</f>
        <v>144416</v>
      </c>
      <c r="J65" s="19"/>
      <c r="L65" t="s">
        <v>87</v>
      </c>
    </row>
    <row r="66" spans="1:12">
      <c r="A66" s="15" t="s">
        <v>293</v>
      </c>
      <c r="B66" s="15" t="s">
        <v>294</v>
      </c>
      <c r="C66" s="15">
        <v>8</v>
      </c>
      <c r="D66" s="15" t="str">
        <f>_xlfn.XLOOKUP($A66,Sheet3!$P:$P,Sheet3!$Q:$Q)</f>
        <v/>
      </c>
      <c r="E66" s="44" t="str">
        <f>_xlfn.XLOOKUP($A66,Sheet3!$D:$D,Sheet3!$E:$E)</f>
        <v/>
      </c>
      <c r="F66" t="s">
        <v>90</v>
      </c>
      <c r="G66" t="s">
        <v>133</v>
      </c>
      <c r="H66" s="15"/>
      <c r="I66" s="44" t="str">
        <f>_xlfn.XLOOKUP($A66,Sheet3!$J:$J,Sheet3!$K:$K)</f>
        <v/>
      </c>
      <c r="L66" t="s">
        <v>87</v>
      </c>
    </row>
    <row r="67" spans="1:12">
      <c r="A67" s="15" t="s">
        <v>295</v>
      </c>
      <c r="B67" s="15" t="s">
        <v>296</v>
      </c>
      <c r="C67" s="15">
        <v>5</v>
      </c>
      <c r="D67" s="15" t="e">
        <f>_xlfn.XLOOKUP($A67,Sheet3!$P:$P,Sheet3!$Q:$Q)</f>
        <v>#N/A</v>
      </c>
      <c r="E67" s="44" t="e">
        <f>_xlfn.XLOOKUP($A67,Sheet3!$D:$D,Sheet3!$E:$E)</f>
        <v>#N/A</v>
      </c>
      <c r="F67" t="s">
        <v>90</v>
      </c>
      <c r="G67" t="s">
        <v>297</v>
      </c>
      <c r="H67" s="15"/>
      <c r="I67" s="44" t="e">
        <f>_xlfn.XLOOKUP($A67,Sheet3!$J:$J,Sheet3!$K:$K)</f>
        <v>#N/A</v>
      </c>
      <c r="L67" t="s">
        <v>87</v>
      </c>
    </row>
    <row r="68" spans="1:12">
      <c r="A68" s="15" t="s">
        <v>298</v>
      </c>
      <c r="B68" s="15" t="s">
        <v>299</v>
      </c>
      <c r="C68" s="15">
        <v>5</v>
      </c>
      <c r="D68" s="15" t="str">
        <f>_xlfn.XLOOKUP($A68,Sheet3!$P:$P,Sheet3!$Q:$Q)</f>
        <v/>
      </c>
      <c r="E68" s="44" t="str">
        <f>_xlfn.XLOOKUP($A68,Sheet3!$D:$D,Sheet3!$E:$E)</f>
        <v/>
      </c>
      <c r="F68" t="s">
        <v>90</v>
      </c>
      <c r="G68" t="s">
        <v>133</v>
      </c>
      <c r="H68" s="15"/>
      <c r="I68" s="44" t="str">
        <f>_xlfn.XLOOKUP($A68,Sheet3!$J:$J,Sheet3!$K:$K)</f>
        <v/>
      </c>
      <c r="L68" t="s">
        <v>87</v>
      </c>
    </row>
    <row r="69" spans="1:12">
      <c r="A69" s="15" t="s">
        <v>300</v>
      </c>
      <c r="B69" s="15" t="s">
        <v>301</v>
      </c>
      <c r="C69" s="15">
        <v>9</v>
      </c>
      <c r="D69" s="15" t="e">
        <f>_xlfn.XLOOKUP($A69,Sheet3!$P:$P,Sheet3!$Q:$Q)</f>
        <v>#N/A</v>
      </c>
      <c r="E69" s="44" t="e">
        <f>_xlfn.XLOOKUP($A69,Sheet3!$D:$D,Sheet3!$E:$E)</f>
        <v>#N/A</v>
      </c>
      <c r="F69" t="s">
        <v>90</v>
      </c>
      <c r="G69" t="s">
        <v>133</v>
      </c>
      <c r="H69" s="15"/>
      <c r="I69" s="44" t="e">
        <f>_xlfn.XLOOKUP($A69,Sheet3!$J:$J,Sheet3!$K:$K)</f>
        <v>#N/A</v>
      </c>
      <c r="L69" t="s">
        <v>87</v>
      </c>
    </row>
    <row r="70" spans="1:12">
      <c r="A70" s="15" t="s">
        <v>302</v>
      </c>
      <c r="B70" s="15" t="s">
        <v>303</v>
      </c>
      <c r="C70" s="15">
        <v>5</v>
      </c>
      <c r="D70" s="15" t="str">
        <f>_xlfn.XLOOKUP($A70,Sheet3!$P:$P,Sheet3!$Q:$Q)</f>
        <v>0</v>
      </c>
      <c r="E70" s="44" t="str">
        <f>_xlfn.XLOOKUP($A70,Sheet3!$D:$D,Sheet3!$E:$E)</f>
        <v>0</v>
      </c>
      <c r="F70" t="s">
        <v>90</v>
      </c>
      <c r="G70" t="s">
        <v>133</v>
      </c>
      <c r="H70" s="15"/>
      <c r="I70" s="44" t="str">
        <f>_xlfn.XLOOKUP($A70,Sheet3!$J:$J,Sheet3!$K:$K)</f>
        <v>0</v>
      </c>
      <c r="L70" t="s">
        <v>87</v>
      </c>
    </row>
    <row r="71" spans="1:12">
      <c r="A71" s="15" t="s">
        <v>304</v>
      </c>
      <c r="B71" s="15" t="s">
        <v>305</v>
      </c>
      <c r="C71" s="15">
        <v>5</v>
      </c>
      <c r="D71" s="15" t="str">
        <f>_xlfn.XLOOKUP($A71,Sheet3!$P:$P,Sheet3!$Q:$Q)</f>
        <v>0</v>
      </c>
      <c r="E71" s="44" t="str">
        <f>_xlfn.XLOOKUP($A71,Sheet3!$D:$D,Sheet3!$E:$E)</f>
        <v>0</v>
      </c>
      <c r="F71" t="s">
        <v>90</v>
      </c>
      <c r="G71" t="s">
        <v>133</v>
      </c>
      <c r="H71" s="15"/>
      <c r="I71" s="44" t="str">
        <f>_xlfn.XLOOKUP($A71,Sheet3!$J:$J,Sheet3!$K:$K)</f>
        <v>0</v>
      </c>
      <c r="L71" t="s">
        <v>87</v>
      </c>
    </row>
    <row r="72" spans="1:12">
      <c r="A72" s="15" t="s">
        <v>306</v>
      </c>
      <c r="B72" s="15" t="s">
        <v>307</v>
      </c>
      <c r="C72" s="15">
        <v>1</v>
      </c>
      <c r="D72" s="15" t="e">
        <f>_xlfn.XLOOKUP($A72,Sheet3!$P:$P,Sheet3!$Q:$Q)</f>
        <v>#N/A</v>
      </c>
      <c r="E72" s="44" t="e">
        <f>_xlfn.XLOOKUP($A72,Sheet3!$D:$D,Sheet3!$E:$E)</f>
        <v>#N/A</v>
      </c>
      <c r="F72" t="s">
        <v>90</v>
      </c>
      <c r="G72" t="s">
        <v>133</v>
      </c>
      <c r="H72" s="15"/>
      <c r="I72" s="44" t="e">
        <f>_xlfn.XLOOKUP($A72,Sheet3!$J:$J,Sheet3!$K:$K)</f>
        <v>#N/A</v>
      </c>
      <c r="L72" t="s">
        <v>87</v>
      </c>
    </row>
    <row r="73" spans="1:12">
      <c r="A73" s="15" t="s">
        <v>308</v>
      </c>
      <c r="B73" s="15" t="s">
        <v>309</v>
      </c>
      <c r="C73" s="15">
        <v>5</v>
      </c>
      <c r="D73" s="15" t="e">
        <f>_xlfn.XLOOKUP($A73,Sheet3!$P:$P,Sheet3!$Q:$Q)</f>
        <v>#N/A</v>
      </c>
      <c r="E73" s="44" t="e">
        <f>_xlfn.XLOOKUP($A73,Sheet3!$D:$D,Sheet3!$E:$E)</f>
        <v>#N/A</v>
      </c>
      <c r="F73" t="s">
        <v>90</v>
      </c>
      <c r="G73" t="s">
        <v>133</v>
      </c>
      <c r="H73" s="15"/>
      <c r="I73" s="44" t="e">
        <f>_xlfn.XLOOKUP($A73,Sheet3!$J:$J,Sheet3!$K:$K)</f>
        <v>#N/A</v>
      </c>
      <c r="L73" t="s">
        <v>87</v>
      </c>
    </row>
    <row r="74" spans="1:12">
      <c r="A74" s="15" t="s">
        <v>310</v>
      </c>
      <c r="B74" s="15" t="s">
        <v>311</v>
      </c>
      <c r="C74" s="15">
        <v>5</v>
      </c>
      <c r="D74" s="15" t="e">
        <f>_xlfn.XLOOKUP($A74,Sheet3!$P:$P,Sheet3!$Q:$Q)</f>
        <v>#N/A</v>
      </c>
      <c r="E74" s="44" t="e">
        <f>_xlfn.XLOOKUP($A74,Sheet3!$D:$D,Sheet3!$E:$E)</f>
        <v>#N/A</v>
      </c>
      <c r="F74" t="s">
        <v>90</v>
      </c>
      <c r="G74" t="s">
        <v>133</v>
      </c>
      <c r="H74" s="15"/>
      <c r="I74" s="44" t="e">
        <f>_xlfn.XLOOKUP($A74,Sheet3!$J:$J,Sheet3!$K:$K)</f>
        <v>#N/A</v>
      </c>
      <c r="L74" t="s">
        <v>87</v>
      </c>
    </row>
    <row r="75" spans="1:12">
      <c r="A75" s="15" t="s">
        <v>312</v>
      </c>
      <c r="B75" s="15" t="s">
        <v>313</v>
      </c>
      <c r="C75" s="15">
        <v>5</v>
      </c>
      <c r="D75" s="15" t="e">
        <f>_xlfn.XLOOKUP($A75,Sheet3!$P:$P,Sheet3!$Q:$Q)</f>
        <v>#N/A</v>
      </c>
      <c r="E75" s="44" t="e">
        <f>_xlfn.XLOOKUP($A75,Sheet3!$D:$D,Sheet3!$E:$E)</f>
        <v>#N/A</v>
      </c>
      <c r="F75" t="s">
        <v>90</v>
      </c>
      <c r="G75" t="s">
        <v>133</v>
      </c>
      <c r="H75" s="15"/>
      <c r="I75" s="44" t="e">
        <f>_xlfn.XLOOKUP($A75,Sheet3!$J:$J,Sheet3!$K:$K)</f>
        <v>#N/A</v>
      </c>
      <c r="L75" t="s">
        <v>87</v>
      </c>
    </row>
    <row r="76" spans="1:12">
      <c r="A76" s="15" t="s">
        <v>314</v>
      </c>
      <c r="B76" s="15" t="s">
        <v>315</v>
      </c>
      <c r="C76" s="15">
        <v>1</v>
      </c>
      <c r="D76" s="15" t="e">
        <f>_xlfn.XLOOKUP($A76,Sheet3!$P:$P,Sheet3!$Q:$Q)</f>
        <v>#N/A</v>
      </c>
      <c r="E76" s="44" t="e">
        <f>_xlfn.XLOOKUP($A76,Sheet3!$D:$D,Sheet3!$E:$E)</f>
        <v>#N/A</v>
      </c>
      <c r="F76" t="s">
        <v>90</v>
      </c>
      <c r="G76" t="s">
        <v>133</v>
      </c>
      <c r="H76" s="15"/>
      <c r="I76" s="44" t="e">
        <f>_xlfn.XLOOKUP($A76,Sheet3!$J:$J,Sheet3!$K:$K)</f>
        <v>#N/A</v>
      </c>
      <c r="L76" t="s">
        <v>87</v>
      </c>
    </row>
    <row r="77" spans="1:12">
      <c r="A77" s="15" t="s">
        <v>316</v>
      </c>
      <c r="B77" s="15" t="s">
        <v>317</v>
      </c>
      <c r="C77" s="15">
        <v>60</v>
      </c>
      <c r="D77" s="15" t="str">
        <f>_xlfn.XLOOKUP($A77,Sheet3!$P:$P,Sheet3!$Q:$Q)</f>
        <v/>
      </c>
      <c r="E77" s="44" t="str">
        <f>_xlfn.XLOOKUP($A77,Sheet3!$D:$D,Sheet3!$E:$E)</f>
        <v/>
      </c>
      <c r="F77" t="s">
        <v>90</v>
      </c>
      <c r="G77" t="s">
        <v>133</v>
      </c>
      <c r="H77" s="15"/>
      <c r="I77" s="44" t="str">
        <f>_xlfn.XLOOKUP($A77,Sheet3!$J:$J,Sheet3!$K:$K)</f>
        <v/>
      </c>
      <c r="L77" t="s">
        <v>87</v>
      </c>
    </row>
    <row r="78" spans="1:12">
      <c r="A78" s="15" t="s">
        <v>318</v>
      </c>
      <c r="B78" s="15" t="s">
        <v>319</v>
      </c>
      <c r="C78" s="15">
        <v>13</v>
      </c>
      <c r="D78" s="15" t="str">
        <f>_xlfn.XLOOKUP($A78,Sheet3!$P:$P,Sheet3!$Q:$Q)</f>
        <v>0</v>
      </c>
      <c r="E78" s="44" t="str">
        <f>_xlfn.XLOOKUP($A78,Sheet3!$D:$D,Sheet3!$E:$E)</f>
        <v>0</v>
      </c>
      <c r="F78" t="s">
        <v>90</v>
      </c>
      <c r="G78" t="s">
        <v>133</v>
      </c>
      <c r="H78" s="15"/>
      <c r="I78" s="44" t="e">
        <f>_xlfn.XLOOKUP($A78,Sheet3!$J:$J,Sheet3!$K:$K)</f>
        <v>#N/A</v>
      </c>
      <c r="L78" t="s">
        <v>87</v>
      </c>
    </row>
    <row r="79" spans="1:12">
      <c r="G79" s="15"/>
      <c r="H79" s="15"/>
    </row>
  </sheetData>
  <autoFilter ref="A1:L78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F76BB-9AAB-46A1-979E-44745EA58D77}">
  <sheetPr>
    <tabColor theme="4" tint="0.59999389629810485"/>
  </sheetPr>
  <dimension ref="A1:N37"/>
  <sheetViews>
    <sheetView topLeftCell="A27" workbookViewId="0">
      <selection activeCell="J4" sqref="J4"/>
    </sheetView>
  </sheetViews>
  <sheetFormatPr defaultRowHeight="14.5" outlineLevelCol="2"/>
  <cols>
    <col min="1" max="1" width="9.1796875" style="15"/>
    <col min="2" max="2" width="17.54296875" style="15" customWidth="1"/>
    <col min="3" max="4" width="9.1796875" style="15"/>
    <col min="5" max="5" width="23.7265625" style="15" customWidth="1"/>
    <col min="6" max="6" width="18.26953125" style="13" hidden="1" customWidth="1" outlineLevel="2"/>
    <col min="7" max="7" width="26.7265625" style="21" hidden="1" customWidth="1" outlineLevel="2"/>
    <col min="8" max="8" width="26.7265625" style="42" hidden="1" customWidth="1" outlineLevel="1" collapsed="1"/>
    <col min="9" max="9" width="26.7265625" style="21" hidden="1" customWidth="1" outlineLevel="1"/>
    <col min="10" max="10" width="26.7265625" style="21" customWidth="1" collapsed="1"/>
    <col min="11" max="11" width="48.26953125" style="15" customWidth="1"/>
    <col min="12" max="12" width="35.54296875" style="15" customWidth="1"/>
  </cols>
  <sheetData>
    <row r="1" spans="1:14">
      <c r="E1" s="36"/>
      <c r="F1" s="91" t="s">
        <v>320</v>
      </c>
      <c r="G1" s="92"/>
      <c r="H1" s="93" t="s">
        <v>321</v>
      </c>
      <c r="I1" s="94"/>
      <c r="J1" s="45" t="s">
        <v>322</v>
      </c>
      <c r="K1"/>
      <c r="L1"/>
    </row>
    <row r="2" spans="1:14" s="39" customFormat="1">
      <c r="A2" s="14" t="s">
        <v>77</v>
      </c>
      <c r="B2" s="14" t="s">
        <v>78</v>
      </c>
      <c r="C2" s="14" t="s">
        <v>79</v>
      </c>
      <c r="D2" s="14" t="s">
        <v>323</v>
      </c>
      <c r="E2" s="14"/>
      <c r="F2" s="38" t="s">
        <v>324</v>
      </c>
      <c r="G2" s="38" t="s">
        <v>325</v>
      </c>
      <c r="H2" s="40" t="s">
        <v>324</v>
      </c>
      <c r="I2" s="38" t="s">
        <v>325</v>
      </c>
      <c r="J2" s="46"/>
      <c r="K2" s="4" t="s">
        <v>326</v>
      </c>
      <c r="L2" s="4" t="s">
        <v>327</v>
      </c>
    </row>
    <row r="3" spans="1:14">
      <c r="A3" s="15" t="s">
        <v>328</v>
      </c>
      <c r="B3" s="15" t="s">
        <v>329</v>
      </c>
      <c r="C3" s="15">
        <v>2</v>
      </c>
      <c r="E3" s="42" t="str">
        <f>_xlfn.XLOOKUP($A3,Sheet3!$V:$V,Sheet3!$W:$W)</f>
        <v>01</v>
      </c>
      <c r="F3" s="13" t="s">
        <v>3</v>
      </c>
      <c r="H3" s="42" t="str">
        <f>_xlfn.IFNA(_xlfn.XLOOKUP($A3,'T-00531'!$D:$D,'T-00531'!$E:$E),"Not in Sheet1")</f>
        <v xml:space="preserve"> 01</v>
      </c>
      <c r="I3" s="33"/>
      <c r="J3" s="42" t="e">
        <f>_xlfn.XLOOKUP($A2,Sheet3!$P:$P,Sheet3!$Q:$Q)</f>
        <v>#N/A</v>
      </c>
      <c r="K3" s="3" t="s">
        <v>330</v>
      </c>
      <c r="L3" s="3" t="s">
        <v>330</v>
      </c>
      <c r="N3" s="37"/>
    </row>
    <row r="4" spans="1:14" ht="72.5">
      <c r="A4" s="15" t="s">
        <v>331</v>
      </c>
      <c r="B4" s="15" t="s">
        <v>332</v>
      </c>
      <c r="C4" s="15">
        <v>6</v>
      </c>
      <c r="E4" s="42" t="str">
        <f>_xlfn.XLOOKUP($A4,Sheet3!$V:$V,Sheet3!$W:$W)</f>
        <v>260128</v>
      </c>
      <c r="F4" s="13" t="s">
        <v>333</v>
      </c>
      <c r="H4" s="42" t="str">
        <f>_xlfn.IFNA(_xlfn.XLOOKUP($A4,'T-00531'!$D:$D,'T-00531'!$E:$E),"Not in Sheet1")</f>
        <v xml:space="preserve"> 260123</v>
      </c>
      <c r="I4" s="33"/>
      <c r="J4" s="42" t="e">
        <f>_xlfn.XLOOKUP($A4,Sheet3!$P:$P,Sheet3!$Q:$Q)</f>
        <v>#N/A</v>
      </c>
      <c r="K4" s="5" t="s">
        <v>94</v>
      </c>
      <c r="L4" s="5" t="s">
        <v>95</v>
      </c>
    </row>
    <row r="5" spans="1:14" ht="72.5">
      <c r="A5" s="15" t="s">
        <v>334</v>
      </c>
      <c r="B5" s="15" t="s">
        <v>335</v>
      </c>
      <c r="C5" s="15">
        <v>6</v>
      </c>
      <c r="D5" s="15" t="s">
        <v>194</v>
      </c>
      <c r="E5" s="42" t="str">
        <f>_xlfn.XLOOKUP($A5,Sheet3!$V:$V,Sheet3!$W:$W)</f>
        <v>144416</v>
      </c>
      <c r="F5" s="13" t="s">
        <v>336</v>
      </c>
      <c r="G5" s="32" t="s">
        <v>337</v>
      </c>
      <c r="H5" s="42" t="str">
        <f>_xlfn.IFNA(_xlfn.XLOOKUP($A5,'T-00531'!$D:$D,'T-00531'!$E:$E),"Not in Sheet1")</f>
        <v xml:space="preserve"> 154417</v>
      </c>
      <c r="I5" s="34"/>
      <c r="J5" s="42" t="e">
        <f>_xlfn.XLOOKUP($A5,Sheet3!$P:$P,Sheet3!$Q:$Q)</f>
        <v>#N/A</v>
      </c>
      <c r="K5" s="5" t="s">
        <v>94</v>
      </c>
      <c r="L5" s="5" t="s">
        <v>338</v>
      </c>
    </row>
    <row r="6" spans="1:14" ht="43.5">
      <c r="A6" s="15" t="s">
        <v>339</v>
      </c>
      <c r="B6" s="15" t="s">
        <v>340</v>
      </c>
      <c r="C6" s="15">
        <v>5</v>
      </c>
      <c r="E6" s="42" t="str">
        <f>_xlfn.XLOOKUP($A6,Sheet3!$V:$V,Sheet3!$W:$W)</f>
        <v>00085</v>
      </c>
      <c r="F6" s="13" t="s">
        <v>341</v>
      </c>
      <c r="H6" s="42" t="str">
        <f>_xlfn.IFNA(_xlfn.XLOOKUP($A6,'T-00531'!$D:$D,'T-00531'!$E:$E),"Not in Sheet1")</f>
        <v xml:space="preserve"> 00085</v>
      </c>
      <c r="I6" s="33"/>
      <c r="J6" s="42" t="e">
        <f>_xlfn.XLOOKUP($A6,Sheet3!$P:$P,Sheet3!$Q:$Q)</f>
        <v>#N/A</v>
      </c>
      <c r="K6" s="6" t="s">
        <v>101</v>
      </c>
      <c r="L6" s="5" t="s">
        <v>102</v>
      </c>
    </row>
    <row r="7" spans="1:14" ht="43.5">
      <c r="A7" s="15" t="s">
        <v>342</v>
      </c>
      <c r="B7" s="15" t="s">
        <v>104</v>
      </c>
      <c r="C7" s="15">
        <v>3</v>
      </c>
      <c r="E7" s="42" t="str">
        <f>_xlfn.XLOOKUP($A7,Sheet3!$V:$V,Sheet3!$W:$W)</f>
        <v>085</v>
      </c>
      <c r="F7" s="13" t="s">
        <v>343</v>
      </c>
      <c r="H7" s="42" t="str">
        <f>_xlfn.IFNA(_xlfn.XLOOKUP($A7,'T-00531'!$D:$D,'T-00531'!$E:$E),"Not in Sheet1")</f>
        <v xml:space="preserve"> 085</v>
      </c>
      <c r="I7" s="33"/>
      <c r="J7" s="42" t="e">
        <f>_xlfn.XLOOKUP($A7,Sheet3!$P:$P,Sheet3!$Q:$Q)</f>
        <v>#N/A</v>
      </c>
      <c r="K7" s="6" t="s">
        <v>101</v>
      </c>
      <c r="L7" s="5" t="s">
        <v>105</v>
      </c>
    </row>
    <row r="8" spans="1:14" ht="29">
      <c r="A8" s="15" t="s">
        <v>344</v>
      </c>
      <c r="B8" s="15" t="s">
        <v>345</v>
      </c>
      <c r="C8" s="15">
        <v>5</v>
      </c>
      <c r="E8" s="42" t="str">
        <f>_xlfn.XLOOKUP($A8,Sheet3!$V:$V,Sheet3!$W:$W)</f>
        <v>00604</v>
      </c>
      <c r="F8" s="13" t="s">
        <v>346</v>
      </c>
      <c r="H8" s="42" t="str">
        <f>_xlfn.IFNA(_xlfn.XLOOKUP($A8,'T-00531'!$D:$D,'T-00531'!$E:$E),"Not in Sheet1")</f>
        <v xml:space="preserve"> 00531</v>
      </c>
      <c r="I8" s="33"/>
      <c r="J8" s="42" t="e">
        <f>_xlfn.XLOOKUP($A8,Sheet3!$P:$P,Sheet3!$Q:$Q)</f>
        <v>#N/A</v>
      </c>
      <c r="K8" s="5" t="s">
        <v>108</v>
      </c>
      <c r="L8" s="5" t="s">
        <v>109</v>
      </c>
    </row>
    <row r="9" spans="1:14" ht="43.5">
      <c r="A9" s="17" t="s">
        <v>347</v>
      </c>
      <c r="B9" s="17" t="s">
        <v>348</v>
      </c>
      <c r="C9" s="17">
        <v>5</v>
      </c>
      <c r="D9" s="17"/>
      <c r="E9" s="42" t="str">
        <f>_xlfn.XLOOKUP($A9,Sheet3!$V:$V,Sheet3!$W:$W)</f>
        <v>00004</v>
      </c>
      <c r="F9" s="13" t="s">
        <v>349</v>
      </c>
      <c r="H9" s="42" t="str">
        <f>_xlfn.IFNA(_xlfn.XLOOKUP($A9,'T-00531'!$D:$D,'T-00531'!$E:$E),"Not in Sheet1")</f>
        <v xml:space="preserve"> 00005</v>
      </c>
      <c r="I9" s="33"/>
      <c r="J9" s="42" t="e">
        <f>_xlfn.XLOOKUP($A9,Sheet3!$P:$P,Sheet3!$Q:$Q)</f>
        <v>#N/A</v>
      </c>
      <c r="K9" t="s">
        <v>90</v>
      </c>
      <c r="L9" s="7" t="s">
        <v>112</v>
      </c>
    </row>
    <row r="10" spans="1:14">
      <c r="A10" s="15" t="s">
        <v>350</v>
      </c>
      <c r="B10" s="15" t="s">
        <v>351</v>
      </c>
      <c r="C10" s="15">
        <v>2</v>
      </c>
      <c r="E10" s="42" t="str">
        <f>_xlfn.XLOOKUP($A10,Sheet3!$V:$V,Sheet3!$W:$W)</f>
        <v>VI</v>
      </c>
      <c r="F10" s="13" t="s">
        <v>352</v>
      </c>
      <c r="H10" s="42" t="str">
        <f>_xlfn.IFNA(_xlfn.XLOOKUP($A10,'T-00531'!$D:$D,'T-00531'!$E:$E),"Not in Sheet1")</f>
        <v xml:space="preserve"> VI</v>
      </c>
      <c r="I10" s="33"/>
      <c r="J10" s="42" t="e">
        <f>_xlfn.XLOOKUP($A10,Sheet3!$P:$P,Sheet3!$Q:$Q)</f>
        <v>#N/A</v>
      </c>
      <c r="K10" t="s">
        <v>353</v>
      </c>
      <c r="L10" s="3" t="s">
        <v>354</v>
      </c>
    </row>
    <row r="11" spans="1:14">
      <c r="A11" s="17" t="s">
        <v>355</v>
      </c>
      <c r="B11" s="17" t="s">
        <v>356</v>
      </c>
      <c r="C11" s="17">
        <v>11</v>
      </c>
      <c r="D11" s="17"/>
      <c r="E11" s="42" t="str">
        <f>_xlfn.XLOOKUP($A11,Sheet3!$V:$V,Sheet3!$W:$W)</f>
        <v>00000016832</v>
      </c>
      <c r="F11" s="13" t="s">
        <v>357</v>
      </c>
      <c r="H11" s="42" t="str">
        <f>_xlfn.IFNA(_xlfn.XLOOKUP($A11,'T-00531'!$D:$D,'T-00531'!$E:$E),"Not in Sheet1")</f>
        <v xml:space="preserve"> 00000002586</v>
      </c>
      <c r="I11" s="33"/>
      <c r="J11" s="42" t="e">
        <f>_xlfn.XLOOKUP($A11,Sheet3!$P:$P,Sheet3!$Q:$Q)</f>
        <v>#N/A</v>
      </c>
      <c r="K11" s="5" t="s">
        <v>358</v>
      </c>
      <c r="L11" s="7" t="s">
        <v>109</v>
      </c>
    </row>
    <row r="12" spans="1:14" ht="43.5">
      <c r="A12" s="17" t="s">
        <v>359</v>
      </c>
      <c r="B12" s="17" t="s">
        <v>123</v>
      </c>
      <c r="C12" s="17">
        <v>1</v>
      </c>
      <c r="D12" s="17"/>
      <c r="E12" s="42" t="str">
        <f>_xlfn.XLOOKUP($A12,Sheet3!$V:$V,Sheet3!$W:$W)</f>
        <v/>
      </c>
      <c r="F12" s="13" t="s">
        <v>360</v>
      </c>
      <c r="H12" s="42" t="str">
        <f>_xlfn.IFNA(_xlfn.XLOOKUP($A12,'T-00531'!$D:$D,'T-00531'!$E:$E),"Not in Sheet1")</f>
        <v xml:space="preserve"> </v>
      </c>
      <c r="I12" s="33"/>
      <c r="J12" s="42" t="e">
        <f>_xlfn.XLOOKUP($A12,Sheet3!$P:$P,Sheet3!$Q:$Q)</f>
        <v>#N/A</v>
      </c>
      <c r="K12" t="s">
        <v>90</v>
      </c>
      <c r="L12" s="7" t="s">
        <v>361</v>
      </c>
    </row>
    <row r="13" spans="1:14" ht="29">
      <c r="A13" s="17" t="s">
        <v>362</v>
      </c>
      <c r="B13" s="17" t="s">
        <v>363</v>
      </c>
      <c r="C13" s="17">
        <v>19</v>
      </c>
      <c r="D13" s="17" t="s">
        <v>194</v>
      </c>
      <c r="E13" s="42" t="str">
        <f>_xlfn.XLOOKUP($A13,Sheet3!$V:$V,Sheet3!$W:$W)</f>
        <v>***************4902</v>
      </c>
      <c r="F13" s="13" t="s">
        <v>364</v>
      </c>
      <c r="G13" s="31" t="s">
        <v>365</v>
      </c>
      <c r="H13" s="42" t="str">
        <f>_xlfn.IFNA(_xlfn.XLOOKUP($A13,'T-00531'!$D:$D,'T-00531'!$E:$E),"Not in Sheet1")</f>
        <v xml:space="preserve"> ***************4903</v>
      </c>
      <c r="I13" s="35"/>
      <c r="J13" s="42" t="e">
        <f>_xlfn.XLOOKUP($A13,Sheet3!$P:$P,Sheet3!$Q:$Q)</f>
        <v>#N/A</v>
      </c>
      <c r="K13" s="10" t="s">
        <v>366</v>
      </c>
      <c r="L13" s="8" t="s">
        <v>367</v>
      </c>
    </row>
    <row r="14" spans="1:14">
      <c r="A14" s="15" t="s">
        <v>368</v>
      </c>
      <c r="B14" s="15" t="s">
        <v>369</v>
      </c>
      <c r="C14" s="15">
        <v>4</v>
      </c>
      <c r="E14" s="42" t="str">
        <f>_xlfn.XLOOKUP($A14,Sheet3!$V:$V,Sheet3!$W:$W)</f>
        <v>0000</v>
      </c>
      <c r="F14" s="13" t="s">
        <v>370</v>
      </c>
      <c r="H14" s="42" t="str">
        <f>_xlfn.IFNA(_xlfn.XLOOKUP($A14,'T-00531'!$D:$D,'T-00531'!$E:$E),"Not in Sheet1")</f>
        <v xml:space="preserve"> 0000</v>
      </c>
      <c r="I14" s="33"/>
      <c r="J14" s="42" t="e">
        <f>_xlfn.XLOOKUP($A14,Sheet3!$P:$P,Sheet3!$Q:$Q)</f>
        <v>#N/A</v>
      </c>
      <c r="K14" t="s">
        <v>90</v>
      </c>
      <c r="L14" t="s">
        <v>371</v>
      </c>
    </row>
    <row r="15" spans="1:14" ht="29">
      <c r="A15" s="17" t="s">
        <v>372</v>
      </c>
      <c r="B15" s="17" t="s">
        <v>373</v>
      </c>
      <c r="C15" s="17">
        <v>6</v>
      </c>
      <c r="D15" s="17"/>
      <c r="E15" s="42" t="str">
        <f>_xlfn.XLOOKUP($A15,Sheet3!$V:$V,Sheet3!$W:$W)</f>
        <v>066851</v>
      </c>
      <c r="F15" s="13" t="s">
        <v>374</v>
      </c>
      <c r="H15" s="42" t="str">
        <f>_xlfn.IFNA(_xlfn.XLOOKUP($A15,'T-00531'!$D:$D,'T-00531'!$E:$E),"Not in Sheet1")</f>
        <v xml:space="preserve"> 066851</v>
      </c>
      <c r="I15" s="33"/>
      <c r="J15" s="42" t="e">
        <f>_xlfn.XLOOKUP($A15,Sheet3!$P:$P,Sheet3!$Q:$Q)</f>
        <v>#N/A</v>
      </c>
      <c r="K15" s="6" t="s">
        <v>375</v>
      </c>
      <c r="L15" s="7" t="s">
        <v>376</v>
      </c>
    </row>
    <row r="16" spans="1:14">
      <c r="A16" s="15" t="s">
        <v>377</v>
      </c>
      <c r="B16" s="15" t="s">
        <v>182</v>
      </c>
      <c r="C16" s="15">
        <v>1</v>
      </c>
      <c r="D16" s="15" t="s">
        <v>194</v>
      </c>
      <c r="E16" s="42" t="str">
        <f>_xlfn.XLOOKUP($A16,Sheet3!$V:$V,Sheet3!$W:$W)</f>
        <v/>
      </c>
      <c r="F16" s="13" t="s">
        <v>378</v>
      </c>
      <c r="G16" s="31" t="s">
        <v>360</v>
      </c>
      <c r="H16" s="42" t="str">
        <f>_xlfn.IFNA(_xlfn.XLOOKUP($A16,'T-00531'!$D:$D,'T-00531'!$E:$E),"Not in Sheet1")</f>
        <v xml:space="preserve"> </v>
      </c>
      <c r="I16" s="35"/>
      <c r="J16" s="42" t="e">
        <f>_xlfn.XLOOKUP($A16,Sheet3!$P:$P,Sheet3!$Q:$Q)</f>
        <v>#N/A</v>
      </c>
      <c r="K16" t="s">
        <v>90</v>
      </c>
      <c r="L16" s="3" t="s">
        <v>379</v>
      </c>
    </row>
    <row r="17" spans="1:12" ht="29">
      <c r="A17" s="30" t="s">
        <v>380</v>
      </c>
      <c r="B17" s="29" t="s">
        <v>184</v>
      </c>
      <c r="C17" s="30">
        <v>16</v>
      </c>
      <c r="D17" s="15" t="s">
        <v>194</v>
      </c>
      <c r="E17" s="87" t="str">
        <f>_xlfn.XLOOKUP($A17,Sheet3!$V:$V,Sheet3!$W:$W)</f>
        <v/>
      </c>
      <c r="F17" s="88" t="s">
        <v>381</v>
      </c>
      <c r="G17" s="89" t="s">
        <v>360</v>
      </c>
      <c r="H17" s="87" t="str">
        <f>_xlfn.IFNA(_xlfn.XLOOKUP($A17,'T-00531'!$D:$D,'T-00531'!$E:$E),"Not in Sheet1")</f>
        <v xml:space="preserve"> </v>
      </c>
      <c r="I17" s="90"/>
      <c r="J17" s="87" t="e">
        <f>_xlfn.XLOOKUP($A17,Sheet3!$P:$P,Sheet3!$Q:$Q)</f>
        <v>#N/A</v>
      </c>
      <c r="K17" s="5"/>
      <c r="L17" s="7" t="s">
        <v>382</v>
      </c>
    </row>
    <row r="18" spans="1:12">
      <c r="A18" s="17" t="s">
        <v>383</v>
      </c>
      <c r="B18" s="17" t="s">
        <v>384</v>
      </c>
      <c r="C18" s="17">
        <v>8</v>
      </c>
      <c r="D18" s="17" t="s">
        <v>200</v>
      </c>
      <c r="E18" s="42" t="str">
        <f>_xlfn.XLOOKUP($A18,Sheet3!$V:$V,Sheet3!$W:$W)</f>
        <v/>
      </c>
      <c r="F18" s="13" t="s">
        <v>360</v>
      </c>
      <c r="G18" s="31" t="s">
        <v>385</v>
      </c>
      <c r="H18" s="42" t="str">
        <f>_xlfn.IFNA(_xlfn.XLOOKUP($A18,'T-00531'!$D:$D,'T-00531'!$E:$E),"Not in Sheet1")</f>
        <v xml:space="preserve"> </v>
      </c>
      <c r="I18" s="35"/>
      <c r="J18" s="42" t="e">
        <f>_xlfn.XLOOKUP($A18,Sheet3!$P:$P,Sheet3!$Q:$Q)</f>
        <v>#N/A</v>
      </c>
      <c r="K18" s="47" t="s">
        <v>90</v>
      </c>
      <c r="L18" s="43" t="s">
        <v>386</v>
      </c>
    </row>
    <row r="19" spans="1:12">
      <c r="A19" s="15" t="s">
        <v>387</v>
      </c>
      <c r="B19" s="15" t="s">
        <v>388</v>
      </c>
      <c r="C19" s="15">
        <v>1</v>
      </c>
      <c r="E19" s="42" t="str">
        <f>_xlfn.XLOOKUP($A19,Sheet3!$V:$V,Sheet3!$W:$W)</f>
        <v/>
      </c>
      <c r="F19" s="13" t="s">
        <v>360</v>
      </c>
      <c r="H19" s="42" t="str">
        <f>_xlfn.IFNA(_xlfn.XLOOKUP($A19,'T-00531'!$D:$D,'T-00531'!$E:$E),"Not in Sheet1")</f>
        <v xml:space="preserve">  </v>
      </c>
      <c r="I19" s="33"/>
      <c r="J19" s="42" t="e">
        <f>_xlfn.XLOOKUP($A19,Sheet3!$P:$P,Sheet3!$Q:$Q)</f>
        <v>#N/A</v>
      </c>
      <c r="K19" t="s">
        <v>90</v>
      </c>
      <c r="L19" t="s">
        <v>379</v>
      </c>
    </row>
    <row r="20" spans="1:12" ht="58">
      <c r="A20" s="17" t="s">
        <v>389</v>
      </c>
      <c r="B20" s="17" t="s">
        <v>390</v>
      </c>
      <c r="C20" s="17">
        <v>5</v>
      </c>
      <c r="D20" s="17"/>
      <c r="E20" s="42" t="str">
        <f>_xlfn.XLOOKUP($A20,Sheet3!$V:$V,Sheet3!$W:$W)</f>
        <v/>
      </c>
      <c r="F20" s="13" t="s">
        <v>360</v>
      </c>
      <c r="H20" s="42" t="str">
        <f>_xlfn.IFNA(_xlfn.XLOOKUP($A20,'T-00531'!$D:$D,'T-00531'!$E:$E),"Not in Sheet1")</f>
        <v xml:space="preserve"> </v>
      </c>
      <c r="I20" s="33"/>
      <c r="J20" s="42" t="e">
        <f>_xlfn.XLOOKUP($A20,Sheet3!$P:$P,Sheet3!$Q:$Q)</f>
        <v>#N/A</v>
      </c>
      <c r="K20" t="s">
        <v>90</v>
      </c>
      <c r="L20" s="7" t="s">
        <v>391</v>
      </c>
    </row>
    <row r="21" spans="1:12">
      <c r="A21" s="15" t="s">
        <v>392</v>
      </c>
      <c r="B21" s="15" t="s">
        <v>393</v>
      </c>
      <c r="C21" s="15">
        <v>10</v>
      </c>
      <c r="E21" s="42" t="str">
        <f>_xlfn.XLOOKUP($A21,Sheet3!$V:$V,Sheet3!$W:$W)</f>
        <v/>
      </c>
      <c r="F21" s="13" t="s">
        <v>360</v>
      </c>
      <c r="H21" s="42" t="str">
        <f>_xlfn.IFNA(_xlfn.XLOOKUP($A21,'T-00531'!$D:$D,'T-00531'!$E:$E),"Not in Sheet1")</f>
        <v xml:space="preserve"> </v>
      </c>
      <c r="I21" s="33"/>
      <c r="J21" s="42" t="e">
        <f>_xlfn.XLOOKUP($A21,Sheet3!$P:$P,Sheet3!$Q:$Q)</f>
        <v>#N/A</v>
      </c>
      <c r="K21" t="s">
        <v>90</v>
      </c>
      <c r="L21" t="s">
        <v>379</v>
      </c>
    </row>
    <row r="22" spans="1:12" s="41" customFormat="1">
      <c r="A22" s="48" t="s">
        <v>394</v>
      </c>
      <c r="B22" s="48" t="s">
        <v>395</v>
      </c>
      <c r="C22" s="48">
        <v>1</v>
      </c>
      <c r="D22" s="48" t="s">
        <v>194</v>
      </c>
      <c r="E22" s="42" t="str">
        <f>_xlfn.XLOOKUP($A22,Sheet3!$V:$V,Sheet3!$W:$W)</f>
        <v>S</v>
      </c>
      <c r="F22" s="13" t="s">
        <v>360</v>
      </c>
      <c r="G22" s="49" t="s">
        <v>396</v>
      </c>
      <c r="H22" s="42" t="str">
        <f>_xlfn.IFNA(_xlfn.XLOOKUP($A22,'T-00531'!$D:$D,'T-00531'!$E:$E),"Not in Sheet1")</f>
        <v xml:space="preserve"> S</v>
      </c>
      <c r="I22" s="50"/>
      <c r="J22" s="42" t="e">
        <f>_xlfn.XLOOKUP($A22,Sheet3!$P:$P,Sheet3!$Q:$Q)</f>
        <v>#N/A</v>
      </c>
      <c r="K22" s="51" t="s">
        <v>397</v>
      </c>
      <c r="L22" s="52" t="s">
        <v>109</v>
      </c>
    </row>
    <row r="23" spans="1:12">
      <c r="A23" s="17" t="s">
        <v>398</v>
      </c>
      <c r="B23" s="17" t="s">
        <v>317</v>
      </c>
      <c r="C23" s="17">
        <v>60</v>
      </c>
      <c r="D23" s="17"/>
      <c r="E23" s="42" t="str">
        <f>_xlfn.XLOOKUP($A23,Sheet3!$V:$V,Sheet3!$W:$W)</f>
        <v/>
      </c>
      <c r="F23" s="13" t="s">
        <v>360</v>
      </c>
      <c r="H23" s="42" t="str">
        <f>_xlfn.IFNA(_xlfn.XLOOKUP($A23,'T-00531'!$D:$D,'T-00531'!$E:$E),"Not in Sheet1")</f>
        <v xml:space="preserve"> </v>
      </c>
      <c r="I23" s="33"/>
      <c r="J23" s="42" t="e">
        <f>_xlfn.XLOOKUP($A23,Sheet3!$P:$P,Sheet3!$Q:$Q)</f>
        <v>#N/A</v>
      </c>
      <c r="K23"/>
      <c r="L23" t="s">
        <v>379</v>
      </c>
    </row>
    <row r="24" spans="1:12">
      <c r="A24" s="15" t="s">
        <v>399</v>
      </c>
      <c r="B24" s="15" t="s">
        <v>400</v>
      </c>
      <c r="C24" s="15">
        <v>64</v>
      </c>
      <c r="E24" s="42" t="str">
        <f>_xlfn.XLOOKUP($A24,Sheet3!$V:$V,Sheet3!$W:$W)</f>
        <v/>
      </c>
      <c r="F24" s="13" t="s">
        <v>401</v>
      </c>
      <c r="H24" s="42" t="str">
        <f>_xlfn.IFNA(_xlfn.XLOOKUP($A24,'T-00531'!$D:$D,'T-00531'!$E:$E),"Not in Sheet1")</f>
        <v xml:space="preserve"> </v>
      </c>
      <c r="I24" s="33"/>
      <c r="J24" s="42" t="e">
        <f>_xlfn.XLOOKUP($A24,Sheet3!$P:$P,Sheet3!$Q:$Q)</f>
        <v>#N/A</v>
      </c>
      <c r="K24" s="11" t="s">
        <v>90</v>
      </c>
      <c r="L24" s="12" t="s">
        <v>379</v>
      </c>
    </row>
    <row r="25" spans="1:12">
      <c r="A25" s="15" t="s">
        <v>402</v>
      </c>
      <c r="B25" s="15" t="s">
        <v>278</v>
      </c>
      <c r="C25" s="15">
        <v>5</v>
      </c>
      <c r="E25" s="42" t="str">
        <f>_xlfn.XLOOKUP($A25,Sheet3!$V:$V,Sheet3!$W:$W)</f>
        <v>55010</v>
      </c>
      <c r="F25" s="13" t="s">
        <v>403</v>
      </c>
      <c r="H25" s="42" t="str">
        <f>_xlfn.IFNA(_xlfn.XLOOKUP($A25,'T-00531'!$D:$D,'T-00531'!$E:$E),"Not in Sheet1")</f>
        <v xml:space="preserve"> 55010</v>
      </c>
      <c r="I25" s="33"/>
      <c r="J25" s="42" t="e">
        <f>_xlfn.XLOOKUP($A25,Sheet3!$P:$P,Sheet3!$Q:$Q)</f>
        <v>#N/A</v>
      </c>
      <c r="K25" t="s">
        <v>279</v>
      </c>
      <c r="L25" t="s">
        <v>109</v>
      </c>
    </row>
    <row r="26" spans="1:12">
      <c r="A26" s="15" t="s">
        <v>404</v>
      </c>
      <c r="B26" s="15" t="s">
        <v>281</v>
      </c>
      <c r="C26" s="15">
        <v>1</v>
      </c>
      <c r="E26" s="42" t="str">
        <f>_xlfn.XLOOKUP($A26,Sheet3!$V:$V,Sheet3!$W:$W)</f>
        <v>1</v>
      </c>
      <c r="F26" s="13" t="s">
        <v>405</v>
      </c>
      <c r="H26" s="42" t="str">
        <f>_xlfn.IFNA(_xlfn.XLOOKUP($A26,'T-00531'!$D:$D,'T-00531'!$E:$E),"Not in Sheet1")</f>
        <v xml:space="preserve"> 1</v>
      </c>
      <c r="I26" s="33"/>
      <c r="J26" s="42" t="e">
        <f>_xlfn.XLOOKUP($A26,Sheet3!$P:$P,Sheet3!$Q:$Q)</f>
        <v>#N/A</v>
      </c>
      <c r="K26" t="s">
        <v>90</v>
      </c>
      <c r="L26">
        <v>1</v>
      </c>
    </row>
    <row r="27" spans="1:12" ht="72.5">
      <c r="A27" s="15" t="s">
        <v>406</v>
      </c>
      <c r="B27" s="15" t="s">
        <v>284</v>
      </c>
      <c r="C27" s="15">
        <v>6</v>
      </c>
      <c r="E27" s="42" t="str">
        <f>_xlfn.XLOOKUP($A27,Sheet3!$V:$V,Sheet3!$W:$W)</f>
        <v>260128</v>
      </c>
      <c r="F27" s="13" t="s">
        <v>333</v>
      </c>
      <c r="H27" s="42" t="str">
        <f>_xlfn.IFNA(_xlfn.XLOOKUP($A27,'T-00531'!$D:$D,'T-00531'!$E:$E),"Not in Sheet1")</f>
        <v xml:space="preserve"> 260123</v>
      </c>
      <c r="I27" s="33"/>
      <c r="J27" s="42" t="e">
        <f>_xlfn.XLOOKUP($A27,Sheet3!$P:$P,Sheet3!$Q:$Q)</f>
        <v>#N/A</v>
      </c>
      <c r="K27" s="5" t="s">
        <v>94</v>
      </c>
      <c r="L27" s="5" t="s">
        <v>95</v>
      </c>
    </row>
    <row r="28" spans="1:12">
      <c r="A28" s="15" t="s">
        <v>407</v>
      </c>
      <c r="B28" s="15" t="s">
        <v>288</v>
      </c>
      <c r="C28" s="15">
        <v>1</v>
      </c>
      <c r="E28" s="42" t="str">
        <f>_xlfn.XLOOKUP($A28,Sheet3!$V:$V,Sheet3!$W:$W)</f>
        <v>1</v>
      </c>
      <c r="F28" s="13" t="s">
        <v>405</v>
      </c>
      <c r="H28" s="42" t="str">
        <f>_xlfn.IFNA(_xlfn.XLOOKUP($A28,'T-00531'!$D:$D,'T-00531'!$E:$E),"Not in Sheet1")</f>
        <v xml:space="preserve"> 1</v>
      </c>
      <c r="I28" s="33"/>
      <c r="J28" s="42" t="e">
        <f>_xlfn.XLOOKUP($A28,Sheet3!$P:$P,Sheet3!$Q:$Q)</f>
        <v>#N/A</v>
      </c>
      <c r="K28" t="s">
        <v>90</v>
      </c>
      <c r="L28">
        <v>1</v>
      </c>
    </row>
    <row r="29" spans="1:12" ht="72.5">
      <c r="A29" s="15" t="s">
        <v>408</v>
      </c>
      <c r="B29" s="15" t="s">
        <v>290</v>
      </c>
      <c r="C29" s="15">
        <v>6</v>
      </c>
      <c r="E29" s="42" t="str">
        <f>_xlfn.XLOOKUP($A29,Sheet3!$V:$V,Sheet3!$W:$W)</f>
        <v>260128</v>
      </c>
      <c r="F29" s="13" t="s">
        <v>333</v>
      </c>
      <c r="H29" s="42" t="str">
        <f>_xlfn.IFNA(_xlfn.XLOOKUP($A29,'T-00531'!$D:$D,'T-00531'!$E:$E),"Not in Sheet1")</f>
        <v xml:space="preserve"> 260123</v>
      </c>
      <c r="I29" s="33"/>
      <c r="J29" s="42" t="e">
        <f>_xlfn.XLOOKUP($A29,Sheet3!$P:$P,Sheet3!$Q:$Q)</f>
        <v>#N/A</v>
      </c>
      <c r="K29" s="5" t="s">
        <v>94</v>
      </c>
      <c r="L29" s="5" t="s">
        <v>95</v>
      </c>
    </row>
    <row r="30" spans="1:12" ht="87">
      <c r="A30" s="15" t="s">
        <v>409</v>
      </c>
      <c r="B30" s="15" t="s">
        <v>292</v>
      </c>
      <c r="C30" s="15">
        <v>6</v>
      </c>
      <c r="E30" s="42" t="str">
        <f>_xlfn.XLOOKUP($A30,Sheet3!$V:$V,Sheet3!$W:$W)</f>
        <v>144416</v>
      </c>
      <c r="F30" s="13" t="s">
        <v>410</v>
      </c>
      <c r="G30" s="32"/>
      <c r="H30" s="42" t="str">
        <f>_xlfn.IFNA(_xlfn.XLOOKUP($A30,'T-00531'!$D:$D,'T-00531'!$E:$E),"Not in Sheet1")</f>
        <v xml:space="preserve"> 154417</v>
      </c>
      <c r="I30" s="34"/>
      <c r="J30" s="42" t="e">
        <f>_xlfn.XLOOKUP($A30,Sheet3!$P:$P,Sheet3!$Q:$Q)</f>
        <v>#N/A</v>
      </c>
      <c r="K30" s="5" t="s">
        <v>94</v>
      </c>
      <c r="L30" s="5" t="s">
        <v>411</v>
      </c>
    </row>
    <row r="31" spans="1:12">
      <c r="A31" s="15" t="s">
        <v>412</v>
      </c>
      <c r="B31" s="15" t="s">
        <v>303</v>
      </c>
      <c r="C31" s="15">
        <v>5</v>
      </c>
      <c r="E31" s="42" t="str">
        <f>_xlfn.XLOOKUP($A31,Sheet3!$V:$V,Sheet3!$W:$W)</f>
        <v>0</v>
      </c>
      <c r="F31" s="13" t="s">
        <v>413</v>
      </c>
      <c r="H31" s="42" t="str">
        <f>_xlfn.IFNA(_xlfn.XLOOKUP($A31,'T-00531'!$D:$D,'T-00531'!$E:$E),"Not in Sheet1")</f>
        <v xml:space="preserve"> 0</v>
      </c>
      <c r="I31" s="33"/>
      <c r="J31" s="42" t="e">
        <f>_xlfn.XLOOKUP($A31,Sheet3!$P:$P,Sheet3!$Q:$Q)</f>
        <v>#N/A</v>
      </c>
      <c r="K31" t="s">
        <v>90</v>
      </c>
      <c r="L31" t="s">
        <v>297</v>
      </c>
    </row>
    <row r="32" spans="1:12">
      <c r="A32" s="15" t="s">
        <v>414</v>
      </c>
      <c r="B32" s="15" t="s">
        <v>305</v>
      </c>
      <c r="C32" s="15">
        <v>5</v>
      </c>
      <c r="E32" s="42" t="str">
        <f>_xlfn.XLOOKUP($A32,Sheet3!$V:$V,Sheet3!$W:$W)</f>
        <v>0</v>
      </c>
      <c r="F32" s="13" t="s">
        <v>413</v>
      </c>
      <c r="H32" s="42" t="str">
        <f>_xlfn.IFNA(_xlfn.XLOOKUP($A32,'T-00531'!$D:$D,'T-00531'!$E:$E),"Not in Sheet1")</f>
        <v xml:space="preserve"> 0</v>
      </c>
      <c r="I32" s="33"/>
      <c r="J32" s="42" t="e">
        <f>_xlfn.XLOOKUP($A32,Sheet3!$P:$P,Sheet3!$Q:$Q)</f>
        <v>#N/A</v>
      </c>
      <c r="K32" t="s">
        <v>90</v>
      </c>
      <c r="L32" t="s">
        <v>297</v>
      </c>
    </row>
    <row r="33" spans="1:12">
      <c r="A33" s="15" t="s">
        <v>415</v>
      </c>
      <c r="B33" s="15" t="s">
        <v>313</v>
      </c>
      <c r="C33" s="15">
        <v>5</v>
      </c>
      <c r="E33" s="42" t="str">
        <f>_xlfn.XLOOKUP($A33,Sheet3!$V:$V,Sheet3!$W:$W)</f>
        <v/>
      </c>
      <c r="F33" s="13" t="s">
        <v>401</v>
      </c>
      <c r="H33" s="42" t="str">
        <f>_xlfn.IFNA(_xlfn.XLOOKUP($A33,'T-00531'!$D:$D,'T-00531'!$E:$E),"Not in Sheet1")</f>
        <v xml:space="preserve"> </v>
      </c>
      <c r="I33" s="33"/>
      <c r="J33" s="42" t="e">
        <f>_xlfn.XLOOKUP($A33,Sheet3!$P:$P,Sheet3!$Q:$Q)</f>
        <v>#N/A</v>
      </c>
      <c r="K33" t="s">
        <v>90</v>
      </c>
      <c r="L33" t="s">
        <v>133</v>
      </c>
    </row>
    <row r="34" spans="1:12">
      <c r="A34" s="15" t="s">
        <v>416</v>
      </c>
      <c r="B34" s="15" t="s">
        <v>315</v>
      </c>
      <c r="C34" s="15">
        <v>1</v>
      </c>
      <c r="E34" s="42" t="str">
        <f>_xlfn.XLOOKUP($A34,Sheet3!$V:$V,Sheet3!$W:$W)</f>
        <v/>
      </c>
      <c r="F34" s="13" t="s">
        <v>401</v>
      </c>
      <c r="H34" s="42" t="str">
        <f>_xlfn.IFNA(_xlfn.XLOOKUP($A34,'T-00531'!$D:$D,'T-00531'!$E:$E),"Not in Sheet1")</f>
        <v xml:space="preserve">  </v>
      </c>
      <c r="I34" s="33"/>
      <c r="J34" s="42" t="e">
        <f>_xlfn.XLOOKUP($A34,Sheet3!$P:$P,Sheet3!$Q:$Q)</f>
        <v>#N/A</v>
      </c>
      <c r="K34" t="s">
        <v>90</v>
      </c>
      <c r="L34" t="s">
        <v>133</v>
      </c>
    </row>
    <row r="35" spans="1:12">
      <c r="A35" s="15" t="s">
        <v>417</v>
      </c>
      <c r="B35" s="15" t="s">
        <v>294</v>
      </c>
      <c r="C35" s="15">
        <v>8</v>
      </c>
      <c r="E35" s="42" t="str">
        <f>_xlfn.XLOOKUP($A35,Sheet3!$V:$V,Sheet3!$W:$W)</f>
        <v/>
      </c>
      <c r="F35" s="13" t="s">
        <v>401</v>
      </c>
      <c r="H35" s="42" t="str">
        <f>_xlfn.IFNA(_xlfn.XLOOKUP($A35,'T-00531'!$D:$D,'T-00531'!$E:$E),"Not in Sheet1")</f>
        <v xml:space="preserve"> </v>
      </c>
      <c r="I35" s="33"/>
      <c r="J35" s="42" t="e">
        <f>_xlfn.XLOOKUP($A35,Sheet3!$P:$P,Sheet3!$Q:$Q)</f>
        <v>#N/A</v>
      </c>
      <c r="K35" t="s">
        <v>90</v>
      </c>
      <c r="L35" t="s">
        <v>133</v>
      </c>
    </row>
    <row r="36" spans="1:12">
      <c r="A36" s="15" t="s">
        <v>418</v>
      </c>
      <c r="B36" s="15" t="s">
        <v>299</v>
      </c>
      <c r="C36" s="15">
        <v>5</v>
      </c>
      <c r="E36" s="42" t="str">
        <f>_xlfn.XLOOKUP($A36,Sheet3!$V:$V,Sheet3!$W:$W)</f>
        <v/>
      </c>
      <c r="F36" s="13" t="s">
        <v>401</v>
      </c>
      <c r="H36" s="42" t="str">
        <f>_xlfn.IFNA(_xlfn.XLOOKUP($A36,'T-00531'!$D:$D,'T-00531'!$E:$E),"Not in Sheet1")</f>
        <v xml:space="preserve"> </v>
      </c>
      <c r="I36" s="33"/>
      <c r="J36" s="42" t="e">
        <f>_xlfn.XLOOKUP($A36,Sheet3!$P:$P,Sheet3!$Q:$Q)</f>
        <v>#N/A</v>
      </c>
      <c r="K36" t="s">
        <v>90</v>
      </c>
      <c r="L36" t="s">
        <v>133</v>
      </c>
    </row>
    <row r="37" spans="1:12">
      <c r="H37" s="41"/>
      <c r="I37" s="33"/>
      <c r="J37" s="42">
        <f>_xlfn.XLOOKUP($A37,Sheet3!$P:$P,Sheet3!$Q:$Q)</f>
        <v>0</v>
      </c>
      <c r="K37"/>
      <c r="L37"/>
    </row>
  </sheetData>
  <mergeCells count="2">
    <mergeCell ref="F1:G1"/>
    <mergeCell ref="H1:I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357EC-1DDE-4F2D-967A-59749ECA3B8A}">
  <dimension ref="A2:G35"/>
  <sheetViews>
    <sheetView workbookViewId="0">
      <selection activeCell="E22" sqref="E22"/>
    </sheetView>
  </sheetViews>
  <sheetFormatPr defaultRowHeight="14.5"/>
  <cols>
    <col min="1" max="2" width="16.7265625" customWidth="1"/>
    <col min="3" max="4" width="38.26953125" customWidth="1"/>
    <col min="5" max="5" width="40.453125" customWidth="1"/>
  </cols>
  <sheetData>
    <row r="2" spans="1:7">
      <c r="A2" t="s">
        <v>419</v>
      </c>
      <c r="B2" t="str">
        <f>SUBSTITUTE(SUBSTITUTE(A2,"""",""),",","")</f>
        <v>TNFTTP: 01</v>
      </c>
      <c r="C2" t="str">
        <f>_xlfn.TEXTBEFORE(B2,":")</f>
        <v>TNFTTP</v>
      </c>
      <c r="D2" t="str">
        <f>SUBSTITUTE(TRIM(C2)," ","")</f>
        <v>TNFTTP</v>
      </c>
      <c r="E2" t="str">
        <f>_xlfn.TEXTAFTER(B2,":")</f>
        <v xml:space="preserve"> 01</v>
      </c>
      <c r="G2">
        <f>COUNTIF('T-00531'!D:D,A2)</f>
        <v>0</v>
      </c>
    </row>
    <row r="3" spans="1:7">
      <c r="A3" t="s">
        <v>420</v>
      </c>
      <c r="B3" t="str">
        <f>SUBSTITUTE(SUBSTITUTE(A3,"""",""),",","")</f>
        <v xml:space="preserve">      TNFTDT: 260123</v>
      </c>
      <c r="C3" t="str">
        <f>_xlfn.TEXTBEFORE(B3,":")</f>
        <v xml:space="preserve">      TNFTDT</v>
      </c>
      <c r="D3" t="str">
        <f t="shared" ref="D3:D35" si="0">SUBSTITUTE(TRIM(C3)," ","")</f>
        <v>TNFTDT</v>
      </c>
      <c r="E3" t="str">
        <f>_xlfn.TEXTAFTER(B3,":")</f>
        <v xml:space="preserve"> 260123</v>
      </c>
      <c r="G3">
        <f>COUNTIF('T-00531'!D:D,A3)</f>
        <v>0</v>
      </c>
    </row>
    <row r="4" spans="1:7">
      <c r="A4" t="s">
        <v>421</v>
      </c>
      <c r="B4" t="str">
        <f t="shared" ref="B4:B35" si="1">SUBSTITUTE(SUBSTITUTE(A4,"""",""),",","")</f>
        <v xml:space="preserve">      TNFTTM: 154417</v>
      </c>
      <c r="C4" t="str">
        <f t="shared" ref="C4:C35" si="2">_xlfn.TEXTBEFORE(B4,":")</f>
        <v xml:space="preserve">      TNFTTM</v>
      </c>
      <c r="D4" t="str">
        <f t="shared" si="0"/>
        <v>TNFTTM</v>
      </c>
      <c r="E4" t="str">
        <f t="shared" ref="E4:E35" si="3">_xlfn.TEXTAFTER(B4,":")</f>
        <v xml:space="preserve"> 154417</v>
      </c>
      <c r="G4">
        <f>COUNTIF('T-00531'!D:D,A4)</f>
        <v>0</v>
      </c>
    </row>
    <row r="5" spans="1:7">
      <c r="A5" t="s">
        <v>422</v>
      </c>
      <c r="B5" t="str">
        <f t="shared" si="1"/>
        <v xml:space="preserve">      TNFCLK: 00085</v>
      </c>
      <c r="C5" t="str">
        <f t="shared" si="2"/>
        <v xml:space="preserve">      TNFCLK</v>
      </c>
      <c r="D5" t="str">
        <f t="shared" si="0"/>
        <v>TNFCLK</v>
      </c>
      <c r="E5" t="str">
        <f t="shared" si="3"/>
        <v xml:space="preserve"> 00085</v>
      </c>
      <c r="G5">
        <f>COUNTIF('T-00531'!D:D,A5)</f>
        <v>0</v>
      </c>
    </row>
    <row r="6" spans="1:7">
      <c r="A6" t="s">
        <v>423</v>
      </c>
      <c r="B6" t="str">
        <f t="shared" si="1"/>
        <v xml:space="preserve">      TNFREG: 085</v>
      </c>
      <c r="C6" t="str">
        <f t="shared" si="2"/>
        <v xml:space="preserve">      TNFREG</v>
      </c>
      <c r="D6" t="str">
        <f t="shared" si="0"/>
        <v>TNFREG</v>
      </c>
      <c r="E6" t="str">
        <f t="shared" si="3"/>
        <v xml:space="preserve"> 085</v>
      </c>
      <c r="G6">
        <f>COUNTIF('T-00531'!D:D,A6)</f>
        <v>0</v>
      </c>
    </row>
    <row r="7" spans="1:7">
      <c r="A7" t="s">
        <v>424</v>
      </c>
      <c r="B7" t="str">
        <f t="shared" si="1"/>
        <v xml:space="preserve">      TNFTTX: 00531</v>
      </c>
      <c r="C7" t="str">
        <f t="shared" si="2"/>
        <v xml:space="preserve">      TNFTTX</v>
      </c>
      <c r="D7" t="str">
        <f t="shared" si="0"/>
        <v>TNFTTX</v>
      </c>
      <c r="E7" t="str">
        <f t="shared" si="3"/>
        <v xml:space="preserve"> 00531</v>
      </c>
      <c r="G7">
        <f>COUNTIF('T-00531'!D:D,A7)</f>
        <v>0</v>
      </c>
    </row>
    <row r="8" spans="1:7">
      <c r="A8" t="s">
        <v>425</v>
      </c>
      <c r="B8" t="str">
        <f t="shared" si="1"/>
        <v xml:space="preserve">      TNFTSQ: 00005</v>
      </c>
      <c r="C8" t="str">
        <f t="shared" si="2"/>
        <v xml:space="preserve">      TNFTSQ</v>
      </c>
      <c r="D8" t="str">
        <f t="shared" si="0"/>
        <v>TNFTSQ</v>
      </c>
      <c r="E8" t="str">
        <f t="shared" si="3"/>
        <v xml:space="preserve"> 00005</v>
      </c>
      <c r="G8">
        <f>COUNTIF('T-00531'!D:D,A8)</f>
        <v>0</v>
      </c>
    </row>
    <row r="9" spans="1:7">
      <c r="A9" t="s">
        <v>426</v>
      </c>
      <c r="B9" t="str">
        <f t="shared" si="1"/>
        <v xml:space="preserve">      TNFFCD: VI</v>
      </c>
      <c r="C9" t="str">
        <f t="shared" si="2"/>
        <v xml:space="preserve">      TNFFCD</v>
      </c>
      <c r="D9" t="str">
        <f t="shared" si="0"/>
        <v>TNFFCD</v>
      </c>
      <c r="E9" t="str">
        <f t="shared" si="3"/>
        <v xml:space="preserve"> VI</v>
      </c>
    </row>
    <row r="10" spans="1:7">
      <c r="A10" t="s">
        <v>427</v>
      </c>
      <c r="B10" t="str">
        <f t="shared" si="1"/>
        <v xml:space="preserve">      TNFAMT: 00000002586</v>
      </c>
      <c r="C10" t="str">
        <f t="shared" si="2"/>
        <v xml:space="preserve">      TNFAMT</v>
      </c>
      <c r="D10" t="str">
        <f t="shared" si="0"/>
        <v>TNFAMT</v>
      </c>
      <c r="E10" t="str">
        <f t="shared" si="3"/>
        <v xml:space="preserve"> 00000002586</v>
      </c>
    </row>
    <row r="11" spans="1:7">
      <c r="A11" t="s">
        <v>428</v>
      </c>
      <c r="B11" t="str">
        <f t="shared" si="1"/>
        <v xml:space="preserve">      TNFAMN: </v>
      </c>
      <c r="C11" t="str">
        <f t="shared" si="2"/>
        <v xml:space="preserve">      TNFAMN</v>
      </c>
      <c r="D11" t="str">
        <f t="shared" si="0"/>
        <v>TNFAMN</v>
      </c>
      <c r="E11" t="str">
        <f t="shared" si="3"/>
        <v xml:space="preserve"> </v>
      </c>
    </row>
    <row r="12" spans="1:7">
      <c r="A12" t="s">
        <v>429</v>
      </c>
      <c r="B12" t="str">
        <f t="shared" si="1"/>
        <v xml:space="preserve">      TNFCCD: ***************4903</v>
      </c>
      <c r="C12" t="str">
        <f t="shared" si="2"/>
        <v xml:space="preserve">      TNFCCD</v>
      </c>
      <c r="D12" t="str">
        <f t="shared" si="0"/>
        <v>TNFCCD</v>
      </c>
      <c r="E12" t="str">
        <f t="shared" si="3"/>
        <v xml:space="preserve"> ***************4903</v>
      </c>
    </row>
    <row r="13" spans="1:7">
      <c r="A13" t="s">
        <v>430</v>
      </c>
      <c r="B13" t="str">
        <f t="shared" si="1"/>
        <v xml:space="preserve">      TNFEXP: 0000</v>
      </c>
      <c r="C13" t="str">
        <f t="shared" si="2"/>
        <v xml:space="preserve">      TNFEXP</v>
      </c>
      <c r="D13" t="str">
        <f t="shared" si="0"/>
        <v>TNFEXP</v>
      </c>
      <c r="E13" t="str">
        <f t="shared" si="3"/>
        <v xml:space="preserve"> 0000</v>
      </c>
    </row>
    <row r="14" spans="1:7">
      <c r="A14" t="s">
        <v>431</v>
      </c>
      <c r="B14" t="str">
        <f t="shared" si="1"/>
        <v xml:space="preserve">      TNFAUT: 066851</v>
      </c>
      <c r="C14" t="str">
        <f t="shared" si="2"/>
        <v xml:space="preserve">      TNFAUT</v>
      </c>
      <c r="D14" t="str">
        <f t="shared" si="0"/>
        <v>TNFAUT</v>
      </c>
      <c r="E14" t="str">
        <f t="shared" si="3"/>
        <v xml:space="preserve"> 066851</v>
      </c>
    </row>
    <row r="15" spans="1:7">
      <c r="A15" t="s">
        <v>432</v>
      </c>
      <c r="B15" t="str">
        <f t="shared" si="1"/>
        <v xml:space="preserve">      TNFRFC: </v>
      </c>
      <c r="C15" t="str">
        <f t="shared" si="2"/>
        <v xml:space="preserve">      TNFRFC</v>
      </c>
      <c r="D15" t="str">
        <f t="shared" si="0"/>
        <v>TNFRFC</v>
      </c>
      <c r="E15" t="str">
        <f t="shared" si="3"/>
        <v xml:space="preserve"> </v>
      </c>
    </row>
    <row r="16" spans="1:7">
      <c r="A16" t="s">
        <v>433</v>
      </c>
      <c r="B16" t="str">
        <f t="shared" si="1"/>
        <v xml:space="preserve">      TNFRDS: </v>
      </c>
      <c r="C16" t="str">
        <f t="shared" si="2"/>
        <v xml:space="preserve">      TNFRDS</v>
      </c>
      <c r="D16" t="str">
        <f t="shared" si="0"/>
        <v>TNFRDS</v>
      </c>
      <c r="E16" t="str">
        <f t="shared" si="3"/>
        <v xml:space="preserve"> </v>
      </c>
    </row>
    <row r="17" spans="1:7">
      <c r="A17" t="s">
        <v>434</v>
      </c>
      <c r="B17" t="str">
        <f t="shared" si="1"/>
        <v xml:space="preserve">      TNFMBR: </v>
      </c>
      <c r="C17" t="str">
        <f t="shared" si="2"/>
        <v xml:space="preserve">      TNFMBR</v>
      </c>
      <c r="D17" t="str">
        <f t="shared" si="0"/>
        <v>TNFMBR</v>
      </c>
      <c r="E17" t="str">
        <f t="shared" si="3"/>
        <v xml:space="preserve"> </v>
      </c>
    </row>
    <row r="18" spans="1:7">
      <c r="A18" t="s">
        <v>435</v>
      </c>
      <c r="B18" t="str">
        <f t="shared" si="1"/>
        <v xml:space="preserve">      TNFSTS:  </v>
      </c>
      <c r="C18" t="str">
        <f t="shared" si="2"/>
        <v xml:space="preserve">      TNFSTS</v>
      </c>
      <c r="D18" t="str">
        <f t="shared" si="0"/>
        <v>TNFSTS</v>
      </c>
      <c r="E18" t="str">
        <f t="shared" si="3"/>
        <v xml:space="preserve">  </v>
      </c>
    </row>
    <row r="19" spans="1:7">
      <c r="A19" t="s">
        <v>436</v>
      </c>
      <c r="B19" t="str">
        <f t="shared" si="1"/>
        <v xml:space="preserve">      TNFESI: </v>
      </c>
      <c r="C19" t="str">
        <f t="shared" si="2"/>
        <v xml:space="preserve">      TNFESI</v>
      </c>
      <c r="D19" t="str">
        <f t="shared" si="0"/>
        <v>TNFESI</v>
      </c>
      <c r="E19" t="str">
        <f t="shared" si="3"/>
        <v xml:space="preserve"> </v>
      </c>
      <c r="G19" t="e" cm="1">
        <f t="array" ref="G19">x</f>
        <v>#NAME?</v>
      </c>
    </row>
    <row r="20" spans="1:7">
      <c r="A20" t="s">
        <v>437</v>
      </c>
      <c r="B20" t="str">
        <f t="shared" si="1"/>
        <v xml:space="preserve">      TNFZIP: </v>
      </c>
      <c r="C20" t="str">
        <f t="shared" si="2"/>
        <v xml:space="preserve">      TNFZIP</v>
      </c>
      <c r="D20" t="str">
        <f t="shared" si="0"/>
        <v>TNFZIP</v>
      </c>
      <c r="E20" t="str">
        <f t="shared" si="3"/>
        <v xml:space="preserve"> </v>
      </c>
    </row>
    <row r="21" spans="1:7">
      <c r="A21" t="s">
        <v>438</v>
      </c>
      <c r="B21" t="str">
        <f t="shared" si="1"/>
        <v xml:space="preserve">      TNFMSR: S</v>
      </c>
      <c r="C21" t="str">
        <f t="shared" si="2"/>
        <v xml:space="preserve">      TNFMSR</v>
      </c>
      <c r="D21" t="str">
        <f t="shared" si="0"/>
        <v>TNFMSR</v>
      </c>
      <c r="E21" t="str">
        <f t="shared" si="3"/>
        <v xml:space="preserve"> S</v>
      </c>
    </row>
    <row r="22" spans="1:7">
      <c r="A22" t="s">
        <v>439</v>
      </c>
      <c r="B22" t="str">
        <f t="shared" si="1"/>
        <v xml:space="preserve">      TNFEML: </v>
      </c>
      <c r="C22" t="str">
        <f t="shared" si="2"/>
        <v xml:space="preserve">      TNFEML</v>
      </c>
      <c r="D22" t="str">
        <f t="shared" si="0"/>
        <v>TNFEML</v>
      </c>
      <c r="E22" t="str">
        <f t="shared" si="3"/>
        <v xml:space="preserve"> </v>
      </c>
    </row>
    <row r="23" spans="1:7">
      <c r="A23" t="s">
        <v>440</v>
      </c>
      <c r="B23" t="str">
        <f t="shared" si="1"/>
        <v xml:space="preserve">      TNFHSH: </v>
      </c>
      <c r="C23" t="str">
        <f t="shared" si="2"/>
        <v xml:space="preserve">      TNFHSH</v>
      </c>
      <c r="D23" t="str">
        <f t="shared" si="0"/>
        <v>TNFHSH</v>
      </c>
      <c r="E23" t="str">
        <f t="shared" si="3"/>
        <v xml:space="preserve"> </v>
      </c>
    </row>
    <row r="24" spans="1:7">
      <c r="A24" t="s">
        <v>441</v>
      </c>
      <c r="B24" t="str">
        <f t="shared" si="1"/>
        <v xml:space="preserve">      TNFPLC: 55010</v>
      </c>
      <c r="C24" t="str">
        <f t="shared" si="2"/>
        <v xml:space="preserve">      TNFPLC</v>
      </c>
      <c r="D24" t="str">
        <f t="shared" si="0"/>
        <v>TNFPLC</v>
      </c>
      <c r="E24" t="str">
        <f t="shared" si="3"/>
        <v xml:space="preserve"> 55010</v>
      </c>
    </row>
    <row r="25" spans="1:7">
      <c r="A25" t="s">
        <v>442</v>
      </c>
      <c r="B25" t="str">
        <f t="shared" si="1"/>
        <v xml:space="preserve">      TNFPCN: 1</v>
      </c>
      <c r="C25" t="str">
        <f t="shared" si="2"/>
        <v xml:space="preserve">      TNFPCN</v>
      </c>
      <c r="D25" t="str">
        <f t="shared" si="0"/>
        <v>TNFPCN</v>
      </c>
      <c r="E25" t="str">
        <f t="shared" si="3"/>
        <v xml:space="preserve"> 1</v>
      </c>
    </row>
    <row r="26" spans="1:7">
      <c r="A26" t="s">
        <v>443</v>
      </c>
      <c r="B26" t="str">
        <f t="shared" si="1"/>
        <v xml:space="preserve">      TNFPDT: 260123</v>
      </c>
      <c r="C26" t="str">
        <f t="shared" si="2"/>
        <v xml:space="preserve">      TNFPDT</v>
      </c>
      <c r="D26" t="str">
        <f t="shared" si="0"/>
        <v>TNFPDT</v>
      </c>
      <c r="E26" t="str">
        <f t="shared" si="3"/>
        <v xml:space="preserve"> 260123</v>
      </c>
    </row>
    <row r="27" spans="1:7">
      <c r="A27" t="s">
        <v>444</v>
      </c>
      <c r="B27" t="str">
        <f t="shared" si="1"/>
        <v xml:space="preserve">      TNFCCN: 1</v>
      </c>
      <c r="C27" t="str">
        <f t="shared" si="2"/>
        <v xml:space="preserve">      TNFCCN</v>
      </c>
      <c r="D27" t="str">
        <f t="shared" si="0"/>
        <v>TNFCCN</v>
      </c>
      <c r="E27" t="str">
        <f t="shared" si="3"/>
        <v xml:space="preserve"> 1</v>
      </c>
    </row>
    <row r="28" spans="1:7">
      <c r="A28" t="s">
        <v>445</v>
      </c>
      <c r="B28" t="str">
        <f t="shared" si="1"/>
        <v xml:space="preserve">      TNFCDT: 260123</v>
      </c>
      <c r="C28" t="str">
        <f t="shared" si="2"/>
        <v xml:space="preserve">      TNFCDT</v>
      </c>
      <c r="D28" t="str">
        <f t="shared" si="0"/>
        <v>TNFCDT</v>
      </c>
      <c r="E28" t="str">
        <f t="shared" si="3"/>
        <v xml:space="preserve"> 260123</v>
      </c>
    </row>
    <row r="29" spans="1:7">
      <c r="A29" t="s">
        <v>446</v>
      </c>
      <c r="B29" t="str">
        <f t="shared" si="1"/>
        <v xml:space="preserve">      TNFCTM: 154417</v>
      </c>
      <c r="C29" t="str">
        <f t="shared" si="2"/>
        <v xml:space="preserve">      TNFCTM</v>
      </c>
      <c r="D29" t="str">
        <f t="shared" si="0"/>
        <v>TNFCTM</v>
      </c>
      <c r="E29" t="str">
        <f t="shared" si="3"/>
        <v xml:space="preserve"> 154417</v>
      </c>
    </row>
    <row r="30" spans="1:7">
      <c r="A30" t="s">
        <v>447</v>
      </c>
      <c r="B30" t="str">
        <f t="shared" si="1"/>
        <v xml:space="preserve">      ATFSST: 0</v>
      </c>
      <c r="C30" t="str">
        <f t="shared" si="2"/>
        <v xml:space="preserve">      ATFSST</v>
      </c>
      <c r="D30" t="str">
        <f t="shared" si="0"/>
        <v>ATFSST</v>
      </c>
      <c r="E30" t="str">
        <f t="shared" si="3"/>
        <v xml:space="preserve"> 0</v>
      </c>
    </row>
    <row r="31" spans="1:7">
      <c r="A31" t="s">
        <v>448</v>
      </c>
      <c r="B31" t="str">
        <f t="shared" si="1"/>
        <v xml:space="preserve">      ATFIST: 0</v>
      </c>
      <c r="C31" t="str">
        <f t="shared" si="2"/>
        <v xml:space="preserve">      ATFIST</v>
      </c>
      <c r="D31" t="str">
        <f t="shared" si="0"/>
        <v>ATFIST</v>
      </c>
      <c r="E31" t="str">
        <f t="shared" si="3"/>
        <v xml:space="preserve"> 0</v>
      </c>
    </row>
    <row r="32" spans="1:7">
      <c r="A32" t="s">
        <v>449</v>
      </c>
      <c r="B32" t="str">
        <f t="shared" si="1"/>
        <v xml:space="preserve">      ATFOTX: </v>
      </c>
      <c r="C32" t="str">
        <f t="shared" si="2"/>
        <v xml:space="preserve">      ATFOTX</v>
      </c>
      <c r="D32" t="str">
        <f t="shared" si="0"/>
        <v>ATFOTX</v>
      </c>
      <c r="E32" t="str">
        <f t="shared" si="3"/>
        <v xml:space="preserve"> </v>
      </c>
    </row>
    <row r="33" spans="1:5">
      <c r="A33" t="s">
        <v>450</v>
      </c>
      <c r="B33" t="str">
        <f t="shared" si="1"/>
        <v xml:space="preserve">      ATFMBT:  </v>
      </c>
      <c r="C33" t="str">
        <f t="shared" si="2"/>
        <v xml:space="preserve">      ATFMBT</v>
      </c>
      <c r="D33" t="str">
        <f t="shared" si="0"/>
        <v>ATFMBT</v>
      </c>
      <c r="E33" t="str">
        <f t="shared" si="3"/>
        <v xml:space="preserve">  </v>
      </c>
    </row>
    <row r="34" spans="1:5">
      <c r="A34" t="s">
        <v>451</v>
      </c>
      <c r="B34" t="str">
        <f t="shared" si="1"/>
        <v xml:space="preserve">      ATFORD: </v>
      </c>
      <c r="C34" t="str">
        <f t="shared" si="2"/>
        <v xml:space="preserve">      ATFORD</v>
      </c>
      <c r="D34" t="str">
        <f t="shared" si="0"/>
        <v>ATFORD</v>
      </c>
      <c r="E34" t="str">
        <f t="shared" si="3"/>
        <v xml:space="preserve"> </v>
      </c>
    </row>
    <row r="35" spans="1:5">
      <c r="A35" t="s">
        <v>452</v>
      </c>
      <c r="B35" t="str">
        <f t="shared" si="1"/>
        <v xml:space="preserve">      ATFPRO: </v>
      </c>
      <c r="C35" t="str">
        <f t="shared" si="2"/>
        <v xml:space="preserve">      ATFPRO</v>
      </c>
      <c r="D35" t="str">
        <f t="shared" si="0"/>
        <v>ATFPRO</v>
      </c>
      <c r="E35" t="str">
        <f t="shared" si="3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A341A-112D-4E2D-B3D2-7D090C4D43BC}">
  <dimension ref="A2:L71"/>
  <sheetViews>
    <sheetView workbookViewId="0">
      <selection activeCell="B2" sqref="B2:E2"/>
    </sheetView>
  </sheetViews>
  <sheetFormatPr defaultRowHeight="14.5"/>
  <cols>
    <col min="2" max="2" width="12.1796875" customWidth="1"/>
    <col min="3" max="3" width="13.26953125" customWidth="1"/>
    <col min="5" max="5" width="15.453125" customWidth="1"/>
  </cols>
  <sheetData>
    <row r="2" spans="1:12">
      <c r="A2" t="s">
        <v>453</v>
      </c>
      <c r="B2" t="str">
        <f>TRIM(
  SUBSTITUTE(
    SUBSTITUTE(
      LEFT(A2, FIND(":", A2) - 1),
      """",
      ""
    ),
    ",",
    ""
  )
)</f>
        <v>SLFTTP</v>
      </c>
      <c r="C2" t="str">
        <f>TRIM(
  SUBSTITUTE(
    SUBSTITUTE(
      _xlfn.TEXTAFTER(A2, ":"),
      """",
      ""
    ),
    ",",
    ""
  )
)</f>
        <v>01</v>
      </c>
      <c r="D2" t="str">
        <f>B2</f>
        <v>SLFTTP</v>
      </c>
      <c r="E2" t="str">
        <f>C2</f>
        <v>01</v>
      </c>
      <c r="H2" t="s">
        <v>453</v>
      </c>
      <c r="I2" t="str">
        <f>TRIM(
  SUBSTITUTE(
    SUBSTITUTE(
      LEFT(H2, FIND(":", H2) - 1),
      """",
      ""
    ),
    ",",
    ""
  )
)</f>
        <v>SLFTTP</v>
      </c>
      <c r="J2" t="str">
        <f>TRIM(
  SUBSTITUTE(
    SUBSTITUTE(
      _xlfn.TEXTAFTER(H2, ":"),
      """",
      ""
    ),
    ",",
    ""
  )
)</f>
        <v>01</v>
      </c>
      <c r="K2" t="str">
        <f>I2</f>
        <v>SLFTTP</v>
      </c>
      <c r="L2" t="str">
        <f>J2</f>
        <v>01</v>
      </c>
    </row>
    <row r="3" spans="1:12">
      <c r="A3" t="s">
        <v>454</v>
      </c>
      <c r="B3" t="str">
        <f t="shared" ref="B3:B66" si="0">TRIM(
  SUBSTITUTE(
    SUBSTITUTE(
      LEFT(A3, FIND(":", A3) - 1),
      """",
      ""
    ),
    ",",
    ""
  )
)</f>
        <v>SLFLNT</v>
      </c>
      <c r="C3" t="str">
        <f t="shared" ref="C3:C66" si="1">TRIM(
  SUBSTITUTE(
    SUBSTITUTE(
      _xlfn.TEXTAFTER(A3, ":"),
      """",
      ""
    ),
    ",",
    ""
  )
)</f>
        <v>01</v>
      </c>
      <c r="D3" t="str">
        <f t="shared" ref="D3:D66" si="2">B3</f>
        <v>SLFLNT</v>
      </c>
      <c r="E3" t="str">
        <f t="shared" ref="E3:E66" si="3">C3</f>
        <v>01</v>
      </c>
      <c r="H3" t="s">
        <v>454</v>
      </c>
      <c r="I3" t="str">
        <f t="shared" ref="I3:I66" si="4">TRIM(
  SUBSTITUTE(
    SUBSTITUTE(
      LEFT(H3, FIND(":", H3) - 1),
      """",
      ""
    ),
    ",",
    ""
  )
)</f>
        <v>SLFLNT</v>
      </c>
      <c r="J3" t="str">
        <f t="shared" ref="J3:J66" si="5">TRIM(
  SUBSTITUTE(
    SUBSTITUTE(
      _xlfn.TEXTAFTER(H3, ":"),
      """",
      ""
    ),
    ",",
    ""
  )
)</f>
        <v>01</v>
      </c>
      <c r="K3" t="str">
        <f t="shared" ref="K3:K66" si="6">I3</f>
        <v>SLFLNT</v>
      </c>
      <c r="L3" t="str">
        <f t="shared" ref="L3:L66" si="7">J3</f>
        <v>01</v>
      </c>
    </row>
    <row r="4" spans="1:12">
      <c r="A4" t="s">
        <v>455</v>
      </c>
      <c r="B4" t="str">
        <f t="shared" si="0"/>
        <v>SLFTDT</v>
      </c>
      <c r="C4" t="str">
        <f t="shared" si="1"/>
        <v>260123</v>
      </c>
      <c r="D4" t="str">
        <f t="shared" si="2"/>
        <v>SLFTDT</v>
      </c>
      <c r="E4" t="str">
        <f t="shared" si="3"/>
        <v>260123</v>
      </c>
      <c r="H4" t="s">
        <v>455</v>
      </c>
      <c r="I4" t="str">
        <f t="shared" si="4"/>
        <v>SLFTDT</v>
      </c>
      <c r="J4" t="str">
        <f t="shared" si="5"/>
        <v>260123</v>
      </c>
      <c r="K4" t="str">
        <f t="shared" si="6"/>
        <v>SLFTDT</v>
      </c>
      <c r="L4" t="str">
        <f t="shared" si="7"/>
        <v>260123</v>
      </c>
    </row>
    <row r="5" spans="1:12">
      <c r="A5" t="s">
        <v>456</v>
      </c>
      <c r="B5" t="str">
        <f t="shared" si="0"/>
        <v>SLFTTM</v>
      </c>
      <c r="C5" t="str">
        <f t="shared" si="1"/>
        <v>154417</v>
      </c>
      <c r="D5" t="str">
        <f t="shared" si="2"/>
        <v>SLFTTM</v>
      </c>
      <c r="E5" t="str">
        <f t="shared" si="3"/>
        <v>154417</v>
      </c>
      <c r="H5" t="s">
        <v>456</v>
      </c>
      <c r="I5" t="str">
        <f t="shared" si="4"/>
        <v>SLFTTM</v>
      </c>
      <c r="J5" t="str">
        <f t="shared" si="5"/>
        <v>154417</v>
      </c>
      <c r="K5" t="str">
        <f t="shared" si="6"/>
        <v>SLFTTM</v>
      </c>
      <c r="L5" t="str">
        <f t="shared" si="7"/>
        <v>154417</v>
      </c>
    </row>
    <row r="6" spans="1:12">
      <c r="A6" t="s">
        <v>457</v>
      </c>
      <c r="B6" t="str">
        <f t="shared" si="0"/>
        <v>SLFCLK</v>
      </c>
      <c r="C6" t="str">
        <f t="shared" si="1"/>
        <v>00085</v>
      </c>
      <c r="D6" t="str">
        <f t="shared" si="2"/>
        <v>SLFCLK</v>
      </c>
      <c r="E6" t="str">
        <f t="shared" si="3"/>
        <v>00085</v>
      </c>
      <c r="H6" t="s">
        <v>457</v>
      </c>
      <c r="I6" t="str">
        <f t="shared" si="4"/>
        <v>SLFCLK</v>
      </c>
      <c r="J6" t="str">
        <f t="shared" si="5"/>
        <v>00085</v>
      </c>
      <c r="K6" t="str">
        <f t="shared" si="6"/>
        <v>SLFCLK</v>
      </c>
      <c r="L6" t="str">
        <f t="shared" si="7"/>
        <v>00085</v>
      </c>
    </row>
    <row r="7" spans="1:12">
      <c r="A7" t="s">
        <v>458</v>
      </c>
      <c r="B7" t="str">
        <f t="shared" si="0"/>
        <v>SLFREG</v>
      </c>
      <c r="C7" t="str">
        <f t="shared" si="1"/>
        <v>085</v>
      </c>
      <c r="D7" t="str">
        <f t="shared" si="2"/>
        <v>SLFREG</v>
      </c>
      <c r="E7" t="str">
        <f t="shared" si="3"/>
        <v>085</v>
      </c>
      <c r="H7" t="s">
        <v>458</v>
      </c>
      <c r="I7" t="str">
        <f t="shared" si="4"/>
        <v>SLFREG</v>
      </c>
      <c r="J7" t="str">
        <f t="shared" si="5"/>
        <v>085</v>
      </c>
      <c r="K7" t="str">
        <f t="shared" si="6"/>
        <v>SLFREG</v>
      </c>
      <c r="L7" t="str">
        <f t="shared" si="7"/>
        <v>085</v>
      </c>
    </row>
    <row r="8" spans="1:12">
      <c r="A8" t="s">
        <v>459</v>
      </c>
      <c r="B8" t="str">
        <f t="shared" si="0"/>
        <v>SLFTTX</v>
      </c>
      <c r="C8" t="str">
        <f t="shared" si="1"/>
        <v>00531</v>
      </c>
      <c r="D8" t="str">
        <f t="shared" si="2"/>
        <v>SLFTTX</v>
      </c>
      <c r="E8" t="str">
        <f t="shared" si="3"/>
        <v>00531</v>
      </c>
      <c r="H8" t="s">
        <v>459</v>
      </c>
      <c r="I8" t="str">
        <f t="shared" si="4"/>
        <v>SLFTTX</v>
      </c>
      <c r="J8" t="str">
        <f t="shared" si="5"/>
        <v>00531</v>
      </c>
      <c r="K8" t="str">
        <f t="shared" si="6"/>
        <v>SLFTTX</v>
      </c>
      <c r="L8" t="str">
        <f t="shared" si="7"/>
        <v>00531</v>
      </c>
    </row>
    <row r="9" spans="1:12">
      <c r="A9" t="s">
        <v>460</v>
      </c>
      <c r="B9" t="str">
        <f t="shared" si="0"/>
        <v>SLFTSQ</v>
      </c>
      <c r="C9" t="str">
        <f t="shared" si="1"/>
        <v>00001</v>
      </c>
      <c r="D9" t="str">
        <f t="shared" si="2"/>
        <v>SLFTSQ</v>
      </c>
      <c r="E9" t="str">
        <f t="shared" si="3"/>
        <v>00001</v>
      </c>
      <c r="H9" t="s">
        <v>461</v>
      </c>
      <c r="I9" t="str">
        <f t="shared" si="4"/>
        <v>SLFTSQ</v>
      </c>
      <c r="J9" t="str">
        <f t="shared" si="5"/>
        <v>00002</v>
      </c>
      <c r="K9" t="str">
        <f t="shared" si="6"/>
        <v>SLFTSQ</v>
      </c>
      <c r="L9" t="str">
        <f t="shared" si="7"/>
        <v>00002</v>
      </c>
    </row>
    <row r="10" spans="1:12">
      <c r="A10" t="s">
        <v>462</v>
      </c>
      <c r="B10" t="str">
        <f t="shared" si="0"/>
        <v>SLFSKU</v>
      </c>
      <c r="C10" t="str">
        <f t="shared" si="1"/>
        <v>000334898</v>
      </c>
      <c r="D10" t="str">
        <f t="shared" si="2"/>
        <v>SLFSKU</v>
      </c>
      <c r="E10" t="str">
        <f t="shared" si="3"/>
        <v>000334898</v>
      </c>
      <c r="H10" t="s">
        <v>463</v>
      </c>
      <c r="I10" t="str">
        <f t="shared" si="4"/>
        <v>SLFSKU</v>
      </c>
      <c r="J10" t="str">
        <f t="shared" si="5"/>
        <v>000169577</v>
      </c>
      <c r="K10" t="str">
        <f t="shared" si="6"/>
        <v>SLFSKU</v>
      </c>
      <c r="L10" t="str">
        <f t="shared" si="7"/>
        <v>000169577</v>
      </c>
    </row>
    <row r="11" spans="1:12">
      <c r="A11" t="s">
        <v>464</v>
      </c>
      <c r="B11" t="str">
        <f t="shared" si="0"/>
        <v>SLFQTY</v>
      </c>
      <c r="C11" t="str">
        <f t="shared" si="1"/>
        <v>000000100</v>
      </c>
      <c r="D11" t="str">
        <f t="shared" si="2"/>
        <v>SLFQTY</v>
      </c>
      <c r="E11" t="str">
        <f t="shared" si="3"/>
        <v>000000100</v>
      </c>
      <c r="H11" t="s">
        <v>464</v>
      </c>
      <c r="I11" t="str">
        <f t="shared" si="4"/>
        <v>SLFQTY</v>
      </c>
      <c r="J11" t="str">
        <f t="shared" si="5"/>
        <v>000000100</v>
      </c>
      <c r="K11" t="str">
        <f t="shared" si="6"/>
        <v>SLFQTY</v>
      </c>
      <c r="L11" t="str">
        <f t="shared" si="7"/>
        <v>000000100</v>
      </c>
    </row>
    <row r="12" spans="1:12">
      <c r="A12" t="s">
        <v>465</v>
      </c>
      <c r="B12" t="str">
        <f t="shared" si="0"/>
        <v>SLFQTN</v>
      </c>
      <c r="C12" t="str">
        <f t="shared" si="1"/>
        <v/>
      </c>
      <c r="D12" t="str">
        <f t="shared" si="2"/>
        <v>SLFQTN</v>
      </c>
      <c r="E12" t="str">
        <f t="shared" si="3"/>
        <v/>
      </c>
      <c r="H12" t="s">
        <v>465</v>
      </c>
      <c r="I12" t="str">
        <f t="shared" si="4"/>
        <v>SLFQTN</v>
      </c>
      <c r="J12" t="str">
        <f t="shared" si="5"/>
        <v/>
      </c>
      <c r="K12" t="str">
        <f t="shared" si="6"/>
        <v>SLFQTN</v>
      </c>
      <c r="L12" t="str">
        <f t="shared" si="7"/>
        <v/>
      </c>
    </row>
    <row r="13" spans="1:12">
      <c r="A13" t="s">
        <v>466</v>
      </c>
      <c r="B13" t="str">
        <f t="shared" si="0"/>
        <v>SLFORG</v>
      </c>
      <c r="C13" t="str">
        <f t="shared" si="1"/>
        <v>000001129</v>
      </c>
      <c r="D13" t="str">
        <f t="shared" si="2"/>
        <v>SLFORG</v>
      </c>
      <c r="E13" t="str">
        <f t="shared" si="3"/>
        <v>000001129</v>
      </c>
      <c r="H13" t="s">
        <v>467</v>
      </c>
      <c r="I13" t="str">
        <f t="shared" si="4"/>
        <v>SLFORG</v>
      </c>
      <c r="J13" t="str">
        <f t="shared" si="5"/>
        <v>000001159</v>
      </c>
      <c r="K13" t="str">
        <f t="shared" si="6"/>
        <v>SLFORG</v>
      </c>
      <c r="L13" t="str">
        <f t="shared" si="7"/>
        <v>000001159</v>
      </c>
    </row>
    <row r="14" spans="1:12">
      <c r="A14" t="s">
        <v>468</v>
      </c>
      <c r="B14" t="str">
        <f t="shared" si="0"/>
        <v>SLFORN</v>
      </c>
      <c r="C14" t="str">
        <f t="shared" si="1"/>
        <v/>
      </c>
      <c r="D14" t="str">
        <f t="shared" si="2"/>
        <v>SLFORN</v>
      </c>
      <c r="E14" t="str">
        <f t="shared" si="3"/>
        <v/>
      </c>
      <c r="H14" t="s">
        <v>468</v>
      </c>
      <c r="I14" t="str">
        <f t="shared" si="4"/>
        <v>SLFORN</v>
      </c>
      <c r="J14" t="str">
        <f t="shared" si="5"/>
        <v/>
      </c>
      <c r="K14" t="str">
        <f t="shared" si="6"/>
        <v>SLFORN</v>
      </c>
      <c r="L14" t="str">
        <f t="shared" si="7"/>
        <v/>
      </c>
    </row>
    <row r="15" spans="1:12">
      <c r="A15" t="s">
        <v>469</v>
      </c>
      <c r="B15" t="str">
        <f t="shared" si="0"/>
        <v>SLFADC</v>
      </c>
      <c r="C15" t="str">
        <f t="shared" si="1"/>
        <v>0000</v>
      </c>
      <c r="D15" t="str">
        <f t="shared" si="2"/>
        <v>SLFADC</v>
      </c>
      <c r="E15" t="str">
        <f t="shared" si="3"/>
        <v>0000</v>
      </c>
      <c r="H15" t="s">
        <v>469</v>
      </c>
      <c r="I15" t="str">
        <f t="shared" si="4"/>
        <v>SLFADC</v>
      </c>
      <c r="J15" t="str">
        <f t="shared" si="5"/>
        <v>0000</v>
      </c>
      <c r="K15" t="str">
        <f t="shared" si="6"/>
        <v>SLFADC</v>
      </c>
      <c r="L15" t="str">
        <f t="shared" si="7"/>
        <v>0000</v>
      </c>
    </row>
    <row r="16" spans="1:12">
      <c r="A16" t="s">
        <v>470</v>
      </c>
      <c r="B16" t="str">
        <f t="shared" si="0"/>
        <v>SLFADP</v>
      </c>
      <c r="C16" t="str">
        <f>TRIM(
  SUBSTITUTE(
    SUBSTITUTE(
      _xlfn.TEXTAFTER(A16, ":"),
      """",
      ""
    ),
    ",",
    ""
  )
)</f>
        <v>000000000</v>
      </c>
      <c r="D16" t="str">
        <f t="shared" si="2"/>
        <v>SLFADP</v>
      </c>
      <c r="E16" t="str">
        <f t="shared" si="3"/>
        <v>000000000</v>
      </c>
      <c r="H16" t="s">
        <v>470</v>
      </c>
      <c r="I16" t="str">
        <f t="shared" si="4"/>
        <v>SLFADP</v>
      </c>
      <c r="J16" t="str">
        <f t="shared" si="5"/>
        <v>000000000</v>
      </c>
      <c r="K16" t="str">
        <f t="shared" si="6"/>
        <v>SLFADP</v>
      </c>
      <c r="L16" t="str">
        <f t="shared" si="7"/>
        <v>000000000</v>
      </c>
    </row>
    <row r="17" spans="1:12">
      <c r="A17" t="s">
        <v>471</v>
      </c>
      <c r="B17" t="str">
        <f t="shared" si="0"/>
        <v>SLFADN</v>
      </c>
      <c r="C17" t="str">
        <f t="shared" si="1"/>
        <v/>
      </c>
      <c r="D17" t="str">
        <f t="shared" si="2"/>
        <v>SLFADN</v>
      </c>
      <c r="E17" t="str">
        <f t="shared" si="3"/>
        <v/>
      </c>
      <c r="H17" t="s">
        <v>471</v>
      </c>
      <c r="I17" t="str">
        <f t="shared" si="4"/>
        <v>SLFADN</v>
      </c>
      <c r="J17" t="str">
        <f t="shared" si="5"/>
        <v/>
      </c>
      <c r="K17" t="str">
        <f t="shared" si="6"/>
        <v>SLFADN</v>
      </c>
      <c r="L17" t="str">
        <f t="shared" si="7"/>
        <v/>
      </c>
    </row>
    <row r="18" spans="1:12">
      <c r="A18" t="s">
        <v>472</v>
      </c>
      <c r="B18" t="str">
        <f t="shared" si="0"/>
        <v>SLFOVR</v>
      </c>
      <c r="C18" t="str">
        <f t="shared" si="1"/>
        <v>000000000</v>
      </c>
      <c r="D18" t="str">
        <f t="shared" si="2"/>
        <v>SLFOVR</v>
      </c>
      <c r="E18" t="str">
        <f t="shared" si="3"/>
        <v>000000000</v>
      </c>
      <c r="H18" t="s">
        <v>472</v>
      </c>
      <c r="I18" t="str">
        <f t="shared" si="4"/>
        <v>SLFOVR</v>
      </c>
      <c r="J18" t="str">
        <f t="shared" si="5"/>
        <v>000000000</v>
      </c>
      <c r="K18" t="str">
        <f t="shared" si="6"/>
        <v>SLFOVR</v>
      </c>
      <c r="L18" t="str">
        <f t="shared" si="7"/>
        <v>000000000</v>
      </c>
    </row>
    <row r="19" spans="1:12">
      <c r="A19" t="s">
        <v>473</v>
      </c>
      <c r="B19" t="str">
        <f t="shared" si="0"/>
        <v>SLFOVN</v>
      </c>
      <c r="C19" t="str">
        <f t="shared" si="1"/>
        <v/>
      </c>
      <c r="D19" t="str">
        <f t="shared" si="2"/>
        <v>SLFOVN</v>
      </c>
      <c r="E19" t="str">
        <f t="shared" si="3"/>
        <v/>
      </c>
      <c r="H19" t="s">
        <v>473</v>
      </c>
      <c r="I19" t="str">
        <f t="shared" si="4"/>
        <v>SLFOVN</v>
      </c>
      <c r="J19" t="str">
        <f t="shared" si="5"/>
        <v/>
      </c>
      <c r="K19" t="str">
        <f t="shared" si="6"/>
        <v>SLFOVN</v>
      </c>
      <c r="L19" t="str">
        <f t="shared" si="7"/>
        <v/>
      </c>
    </row>
    <row r="20" spans="1:12">
      <c r="A20" t="s">
        <v>474</v>
      </c>
      <c r="B20" t="str">
        <f t="shared" si="0"/>
        <v>SLFDST</v>
      </c>
      <c r="C20" t="str">
        <f t="shared" si="1"/>
        <v/>
      </c>
      <c r="D20" t="str">
        <f t="shared" si="2"/>
        <v>SLFDST</v>
      </c>
      <c r="E20" t="str">
        <f t="shared" si="3"/>
        <v/>
      </c>
      <c r="H20" t="s">
        <v>474</v>
      </c>
      <c r="I20" t="str">
        <f t="shared" si="4"/>
        <v>SLFDST</v>
      </c>
      <c r="J20" t="str">
        <f t="shared" si="5"/>
        <v/>
      </c>
      <c r="K20" t="str">
        <f t="shared" si="6"/>
        <v>SLFDST</v>
      </c>
      <c r="L20" t="str">
        <f t="shared" si="7"/>
        <v/>
      </c>
    </row>
    <row r="21" spans="1:12">
      <c r="A21" t="s">
        <v>475</v>
      </c>
      <c r="B21" t="str">
        <f t="shared" si="0"/>
        <v>SLFDSA</v>
      </c>
      <c r="C21" t="str">
        <f t="shared" si="1"/>
        <v>000000000</v>
      </c>
      <c r="D21" t="str">
        <f t="shared" si="2"/>
        <v>SLFDSA</v>
      </c>
      <c r="E21" t="str">
        <f t="shared" si="3"/>
        <v>000000000</v>
      </c>
      <c r="H21" t="s">
        <v>475</v>
      </c>
      <c r="I21" t="str">
        <f t="shared" si="4"/>
        <v>SLFDSA</v>
      </c>
      <c r="J21" t="str">
        <f t="shared" si="5"/>
        <v>000000000</v>
      </c>
      <c r="K21" t="str">
        <f t="shared" si="6"/>
        <v>SLFDSA</v>
      </c>
      <c r="L21" t="str">
        <f t="shared" si="7"/>
        <v>000000000</v>
      </c>
    </row>
    <row r="22" spans="1:12">
      <c r="A22" t="s">
        <v>476</v>
      </c>
      <c r="B22" t="str">
        <f t="shared" si="0"/>
        <v>SLFDSN</v>
      </c>
      <c r="C22" t="str">
        <f t="shared" si="1"/>
        <v/>
      </c>
      <c r="D22" t="str">
        <f t="shared" si="2"/>
        <v>SLFDSN</v>
      </c>
      <c r="E22" t="str">
        <f t="shared" si="3"/>
        <v/>
      </c>
      <c r="H22" t="s">
        <v>476</v>
      </c>
      <c r="I22" t="str">
        <f t="shared" si="4"/>
        <v>SLFDSN</v>
      </c>
      <c r="J22" t="str">
        <f t="shared" si="5"/>
        <v/>
      </c>
      <c r="K22" t="str">
        <f t="shared" si="6"/>
        <v>SLFDSN</v>
      </c>
      <c r="L22" t="str">
        <f t="shared" si="7"/>
        <v/>
      </c>
    </row>
    <row r="23" spans="1:12">
      <c r="A23" t="s">
        <v>477</v>
      </c>
      <c r="B23" t="str">
        <f t="shared" si="0"/>
        <v>SLFSEL</v>
      </c>
      <c r="C23" t="str">
        <f t="shared" si="1"/>
        <v>000001129</v>
      </c>
      <c r="D23" t="str">
        <f t="shared" si="2"/>
        <v>SLFSEL</v>
      </c>
      <c r="E23" t="str">
        <f t="shared" si="3"/>
        <v>000001129</v>
      </c>
      <c r="H23" t="s">
        <v>478</v>
      </c>
      <c r="I23" t="str">
        <f t="shared" si="4"/>
        <v>SLFSEL</v>
      </c>
      <c r="J23" t="str">
        <f t="shared" si="5"/>
        <v>000001159</v>
      </c>
      <c r="K23" t="str">
        <f t="shared" si="6"/>
        <v>SLFSEL</v>
      </c>
      <c r="L23" t="str">
        <f t="shared" si="7"/>
        <v>000001159</v>
      </c>
    </row>
    <row r="24" spans="1:12">
      <c r="A24" t="s">
        <v>479</v>
      </c>
      <c r="B24" t="str">
        <f t="shared" si="0"/>
        <v>SLFSLN</v>
      </c>
      <c r="C24" t="str">
        <f t="shared" si="1"/>
        <v/>
      </c>
      <c r="D24" t="str">
        <f t="shared" si="2"/>
        <v>SLFSLN</v>
      </c>
      <c r="E24" t="str">
        <f t="shared" si="3"/>
        <v/>
      </c>
      <c r="H24" t="s">
        <v>479</v>
      </c>
      <c r="I24" t="str">
        <f t="shared" si="4"/>
        <v>SLFSLN</v>
      </c>
      <c r="J24" t="str">
        <f t="shared" si="5"/>
        <v/>
      </c>
      <c r="K24" t="str">
        <f t="shared" si="6"/>
        <v>SLFSLN</v>
      </c>
      <c r="L24" t="str">
        <f t="shared" si="7"/>
        <v/>
      </c>
    </row>
    <row r="25" spans="1:12">
      <c r="A25" t="s">
        <v>480</v>
      </c>
      <c r="B25" t="str">
        <f t="shared" si="0"/>
        <v>SLFEXT</v>
      </c>
      <c r="C25" t="str">
        <f t="shared" si="1"/>
        <v>00000001129</v>
      </c>
      <c r="D25" t="str">
        <f t="shared" si="2"/>
        <v>SLFEXT</v>
      </c>
      <c r="E25" t="str">
        <f t="shared" si="3"/>
        <v>00000001129</v>
      </c>
      <c r="H25" t="s">
        <v>481</v>
      </c>
      <c r="I25" t="str">
        <f t="shared" si="4"/>
        <v>SLFEXT</v>
      </c>
      <c r="J25" t="str">
        <f t="shared" si="5"/>
        <v>00000001159</v>
      </c>
      <c r="K25" t="str">
        <f t="shared" si="6"/>
        <v>SLFEXT</v>
      </c>
      <c r="L25" t="str">
        <f t="shared" si="7"/>
        <v>00000001159</v>
      </c>
    </row>
    <row r="26" spans="1:12">
      <c r="A26" t="s">
        <v>482</v>
      </c>
      <c r="B26" t="str">
        <f t="shared" si="0"/>
        <v>SLFEXN</v>
      </c>
      <c r="C26" t="str">
        <f t="shared" si="1"/>
        <v/>
      </c>
      <c r="D26" t="str">
        <f t="shared" si="2"/>
        <v>SLFEXN</v>
      </c>
      <c r="E26" t="str">
        <f t="shared" si="3"/>
        <v/>
      </c>
      <c r="H26" t="s">
        <v>482</v>
      </c>
      <c r="I26" t="str">
        <f t="shared" si="4"/>
        <v>SLFEXN</v>
      </c>
      <c r="J26" t="str">
        <f t="shared" si="5"/>
        <v/>
      </c>
      <c r="K26" t="str">
        <f t="shared" si="6"/>
        <v>SLFEXN</v>
      </c>
      <c r="L26" t="str">
        <f t="shared" si="7"/>
        <v/>
      </c>
    </row>
    <row r="27" spans="1:12">
      <c r="A27" t="s">
        <v>483</v>
      </c>
      <c r="B27" t="str">
        <f t="shared" si="0"/>
        <v>SLFTX1</v>
      </c>
      <c r="C27" t="str">
        <f t="shared" si="1"/>
        <v>N</v>
      </c>
      <c r="D27" t="str">
        <f t="shared" si="2"/>
        <v>SLFTX1</v>
      </c>
      <c r="E27" t="str">
        <f t="shared" si="3"/>
        <v>N</v>
      </c>
      <c r="H27" t="s">
        <v>483</v>
      </c>
      <c r="I27" t="str">
        <f t="shared" si="4"/>
        <v>SLFTX1</v>
      </c>
      <c r="J27" t="str">
        <f t="shared" si="5"/>
        <v>N</v>
      </c>
      <c r="K27" t="str">
        <f t="shared" si="6"/>
        <v>SLFTX1</v>
      </c>
      <c r="L27" t="str">
        <f t="shared" si="7"/>
        <v>N</v>
      </c>
    </row>
    <row r="28" spans="1:12">
      <c r="A28" t="s">
        <v>484</v>
      </c>
      <c r="B28" t="str">
        <f t="shared" si="0"/>
        <v>SLFTX2</v>
      </c>
      <c r="C28" t="str">
        <f t="shared" si="1"/>
        <v>N</v>
      </c>
      <c r="D28" t="str">
        <f t="shared" si="2"/>
        <v>SLFTX2</v>
      </c>
      <c r="E28" t="str">
        <f t="shared" si="3"/>
        <v>N</v>
      </c>
      <c r="H28" t="s">
        <v>484</v>
      </c>
      <c r="I28" t="str">
        <f t="shared" si="4"/>
        <v>SLFTX2</v>
      </c>
      <c r="J28" t="str">
        <f t="shared" si="5"/>
        <v>N</v>
      </c>
      <c r="K28" t="str">
        <f t="shared" si="6"/>
        <v>SLFTX2</v>
      </c>
      <c r="L28" t="str">
        <f t="shared" si="7"/>
        <v>N</v>
      </c>
    </row>
    <row r="29" spans="1:12">
      <c r="A29" t="s">
        <v>485</v>
      </c>
      <c r="B29" t="str">
        <f t="shared" si="0"/>
        <v>SLFTX3</v>
      </c>
      <c r="C29" t="str">
        <f t="shared" si="1"/>
        <v>Y</v>
      </c>
      <c r="D29" t="str">
        <f t="shared" si="2"/>
        <v>SLFTX3</v>
      </c>
      <c r="E29" t="str">
        <f t="shared" si="3"/>
        <v>Y</v>
      </c>
      <c r="H29" t="s">
        <v>485</v>
      </c>
      <c r="I29" t="str">
        <f t="shared" si="4"/>
        <v>SLFTX3</v>
      </c>
      <c r="J29" t="str">
        <f t="shared" si="5"/>
        <v>Y</v>
      </c>
      <c r="K29" t="str">
        <f t="shared" si="6"/>
        <v>SLFTX3</v>
      </c>
      <c r="L29" t="str">
        <f t="shared" si="7"/>
        <v>Y</v>
      </c>
    </row>
    <row r="30" spans="1:12">
      <c r="A30" t="s">
        <v>486</v>
      </c>
      <c r="B30" t="str">
        <f t="shared" si="0"/>
        <v>SLFTX4</v>
      </c>
      <c r="C30" t="str">
        <f t="shared" si="1"/>
        <v>N</v>
      </c>
      <c r="D30" t="str">
        <f t="shared" si="2"/>
        <v>SLFTX4</v>
      </c>
      <c r="E30" t="str">
        <f t="shared" si="3"/>
        <v>N</v>
      </c>
      <c r="H30" t="s">
        <v>486</v>
      </c>
      <c r="I30" t="str">
        <f t="shared" si="4"/>
        <v>SLFTX4</v>
      </c>
      <c r="J30" t="str">
        <f t="shared" si="5"/>
        <v>N</v>
      </c>
      <c r="K30" t="str">
        <f t="shared" si="6"/>
        <v>SLFTX4</v>
      </c>
      <c r="L30" t="str">
        <f t="shared" si="7"/>
        <v>N</v>
      </c>
    </row>
    <row r="31" spans="1:12">
      <c r="A31" t="s">
        <v>487</v>
      </c>
      <c r="B31" t="str">
        <f t="shared" si="0"/>
        <v>SLFRFC</v>
      </c>
      <c r="C31" t="str">
        <f t="shared" si="1"/>
        <v/>
      </c>
      <c r="D31" t="str">
        <f t="shared" si="2"/>
        <v>SLFRFC</v>
      </c>
      <c r="E31" t="str">
        <f t="shared" si="3"/>
        <v/>
      </c>
      <c r="H31" t="s">
        <v>487</v>
      </c>
      <c r="I31" t="str">
        <f t="shared" si="4"/>
        <v>SLFRFC</v>
      </c>
      <c r="J31" t="str">
        <f t="shared" si="5"/>
        <v/>
      </c>
      <c r="K31" t="str">
        <f t="shared" si="6"/>
        <v>SLFRFC</v>
      </c>
      <c r="L31" t="str">
        <f t="shared" si="7"/>
        <v/>
      </c>
    </row>
    <row r="32" spans="1:12">
      <c r="A32" t="s">
        <v>488</v>
      </c>
      <c r="B32" t="str">
        <f t="shared" si="0"/>
        <v>SLFRFD</v>
      </c>
      <c r="C32" t="str">
        <f t="shared" si="1"/>
        <v/>
      </c>
      <c r="D32" t="str">
        <f t="shared" si="2"/>
        <v>SLFRFD</v>
      </c>
      <c r="E32" t="str">
        <f t="shared" si="3"/>
        <v/>
      </c>
      <c r="H32" t="s">
        <v>488</v>
      </c>
      <c r="I32" t="str">
        <f t="shared" si="4"/>
        <v>SLFRFD</v>
      </c>
      <c r="J32" t="str">
        <f t="shared" si="5"/>
        <v/>
      </c>
      <c r="K32" t="str">
        <f t="shared" si="6"/>
        <v>SLFRFD</v>
      </c>
      <c r="L32" t="str">
        <f t="shared" si="7"/>
        <v/>
      </c>
    </row>
    <row r="33" spans="1:12">
      <c r="A33" t="s">
        <v>489</v>
      </c>
      <c r="B33" t="str">
        <f t="shared" si="0"/>
        <v>SLFUPC</v>
      </c>
      <c r="C33" t="str">
        <f t="shared" si="1"/>
        <v>0000000000000</v>
      </c>
      <c r="D33" t="str">
        <f t="shared" si="2"/>
        <v>SLFUPC</v>
      </c>
      <c r="E33" t="str">
        <f t="shared" si="3"/>
        <v>0000000000000</v>
      </c>
      <c r="H33" t="s">
        <v>489</v>
      </c>
      <c r="I33" t="str">
        <f t="shared" si="4"/>
        <v>SLFUPC</v>
      </c>
      <c r="J33" t="str">
        <f t="shared" si="5"/>
        <v>0000000000000</v>
      </c>
      <c r="K33" t="str">
        <f t="shared" si="6"/>
        <v>SLFUPC</v>
      </c>
      <c r="L33" t="str">
        <f t="shared" si="7"/>
        <v>0000000000000</v>
      </c>
    </row>
    <row r="34" spans="1:12">
      <c r="A34" t="s">
        <v>490</v>
      </c>
      <c r="B34" t="str">
        <f t="shared" si="0"/>
        <v>SLFSPS</v>
      </c>
      <c r="C34" t="str">
        <f t="shared" si="1"/>
        <v>00085</v>
      </c>
      <c r="D34" t="str">
        <f t="shared" si="2"/>
        <v>SLFSPS</v>
      </c>
      <c r="E34" t="str">
        <f t="shared" si="3"/>
        <v>00085</v>
      </c>
      <c r="H34" t="s">
        <v>490</v>
      </c>
      <c r="I34" t="str">
        <f t="shared" si="4"/>
        <v>SLFSPS</v>
      </c>
      <c r="J34" t="str">
        <f t="shared" si="5"/>
        <v>00085</v>
      </c>
      <c r="K34" t="str">
        <f t="shared" si="6"/>
        <v>SLFSPS</v>
      </c>
      <c r="L34" t="str">
        <f t="shared" si="7"/>
        <v>00085</v>
      </c>
    </row>
    <row r="35" spans="1:12">
      <c r="A35" t="s">
        <v>491</v>
      </c>
      <c r="B35" t="str">
        <f t="shared" si="0"/>
        <v>SLFSTS</v>
      </c>
      <c r="C35" t="str">
        <f t="shared" si="1"/>
        <v/>
      </c>
      <c r="D35" t="str">
        <f t="shared" si="2"/>
        <v>SLFSTS</v>
      </c>
      <c r="E35" t="str">
        <f t="shared" si="3"/>
        <v/>
      </c>
      <c r="H35" t="s">
        <v>491</v>
      </c>
      <c r="I35" t="str">
        <f t="shared" si="4"/>
        <v>SLFSTS</v>
      </c>
      <c r="J35" t="str">
        <f t="shared" si="5"/>
        <v/>
      </c>
      <c r="K35" t="str">
        <f t="shared" si="6"/>
        <v>SLFSTS</v>
      </c>
      <c r="L35" t="str">
        <f t="shared" si="7"/>
        <v/>
      </c>
    </row>
    <row r="36" spans="1:12">
      <c r="A36" t="s">
        <v>492</v>
      </c>
      <c r="B36" t="str">
        <f t="shared" si="0"/>
        <v>SLFZIP</v>
      </c>
      <c r="C36" t="str">
        <f t="shared" si="1"/>
        <v/>
      </c>
      <c r="D36" t="str">
        <f t="shared" si="2"/>
        <v>SLFZIP</v>
      </c>
      <c r="E36" t="str">
        <f t="shared" si="3"/>
        <v/>
      </c>
      <c r="H36" t="s">
        <v>492</v>
      </c>
      <c r="I36" t="str">
        <f t="shared" si="4"/>
        <v>SLFZIP</v>
      </c>
      <c r="J36" t="str">
        <f t="shared" si="5"/>
        <v/>
      </c>
      <c r="K36" t="str">
        <f t="shared" si="6"/>
        <v>SLFZIP</v>
      </c>
      <c r="L36" t="str">
        <f t="shared" si="7"/>
        <v/>
      </c>
    </row>
    <row r="37" spans="1:12">
      <c r="A37" t="s">
        <v>493</v>
      </c>
      <c r="B37" t="str">
        <f t="shared" si="0"/>
        <v>SLFCNM</v>
      </c>
      <c r="C37" t="str">
        <f t="shared" si="1"/>
        <v/>
      </c>
      <c r="D37" t="str">
        <f t="shared" si="2"/>
        <v>SLFCNM</v>
      </c>
      <c r="E37" t="str">
        <f t="shared" si="3"/>
        <v/>
      </c>
      <c r="H37" t="s">
        <v>493</v>
      </c>
      <c r="I37" t="str">
        <f t="shared" si="4"/>
        <v>SLFCNM</v>
      </c>
      <c r="J37" t="str">
        <f t="shared" si="5"/>
        <v/>
      </c>
      <c r="K37" t="str">
        <f t="shared" si="6"/>
        <v>SLFCNM</v>
      </c>
      <c r="L37" t="str">
        <f t="shared" si="7"/>
        <v/>
      </c>
    </row>
    <row r="38" spans="1:12">
      <c r="A38" t="s">
        <v>494</v>
      </c>
      <c r="B38" t="str">
        <f t="shared" si="0"/>
        <v>SLFNUM</v>
      </c>
      <c r="C38" t="str">
        <f t="shared" si="1"/>
        <v/>
      </c>
      <c r="D38" t="str">
        <f t="shared" si="2"/>
        <v>SLFNUM</v>
      </c>
      <c r="E38" t="str">
        <f t="shared" si="3"/>
        <v/>
      </c>
      <c r="H38" t="s">
        <v>494</v>
      </c>
      <c r="I38" t="str">
        <f t="shared" si="4"/>
        <v>SLFNUM</v>
      </c>
      <c r="J38" t="str">
        <f t="shared" si="5"/>
        <v/>
      </c>
      <c r="K38" t="str">
        <f t="shared" si="6"/>
        <v>SLFNUM</v>
      </c>
      <c r="L38" t="str">
        <f t="shared" si="7"/>
        <v/>
      </c>
    </row>
    <row r="39" spans="1:12">
      <c r="A39" t="s">
        <v>495</v>
      </c>
      <c r="B39" t="str">
        <f t="shared" si="0"/>
        <v>SLFRSN</v>
      </c>
      <c r="C39" t="str">
        <f t="shared" si="1"/>
        <v/>
      </c>
      <c r="D39" t="str">
        <f t="shared" si="2"/>
        <v>SLFRSN</v>
      </c>
      <c r="E39" t="str">
        <f t="shared" si="3"/>
        <v/>
      </c>
      <c r="H39" t="s">
        <v>495</v>
      </c>
      <c r="I39" t="str">
        <f t="shared" si="4"/>
        <v>SLFRSN</v>
      </c>
      <c r="J39" t="str">
        <f t="shared" si="5"/>
        <v/>
      </c>
      <c r="K39" t="str">
        <f t="shared" si="6"/>
        <v>SLFRSN</v>
      </c>
      <c r="L39" t="str">
        <f t="shared" si="7"/>
        <v/>
      </c>
    </row>
    <row r="40" spans="1:12">
      <c r="A40" t="s">
        <v>496</v>
      </c>
      <c r="B40" t="str">
        <f t="shared" si="0"/>
        <v>SLFOSP</v>
      </c>
      <c r="C40" t="str">
        <f t="shared" si="1"/>
        <v>00000</v>
      </c>
      <c r="D40" t="str">
        <f t="shared" si="2"/>
        <v>SLFOSP</v>
      </c>
      <c r="E40" t="str">
        <f t="shared" si="3"/>
        <v>00000</v>
      </c>
      <c r="H40" t="s">
        <v>496</v>
      </c>
      <c r="I40" t="str">
        <f t="shared" si="4"/>
        <v>SLFOSP</v>
      </c>
      <c r="J40" t="str">
        <f t="shared" si="5"/>
        <v>00000</v>
      </c>
      <c r="K40" t="str">
        <f t="shared" si="6"/>
        <v>SLFOSP</v>
      </c>
      <c r="L40" t="str">
        <f t="shared" si="7"/>
        <v>00000</v>
      </c>
    </row>
    <row r="41" spans="1:12">
      <c r="A41" t="s">
        <v>497</v>
      </c>
      <c r="B41" t="str">
        <f t="shared" si="0"/>
        <v>SLFOST</v>
      </c>
      <c r="C41" t="str">
        <f t="shared" si="1"/>
        <v>00000</v>
      </c>
      <c r="D41" t="str">
        <f t="shared" si="2"/>
        <v>SLFOST</v>
      </c>
      <c r="E41" t="str">
        <f t="shared" si="3"/>
        <v>00000</v>
      </c>
      <c r="H41" t="s">
        <v>497</v>
      </c>
      <c r="I41" t="str">
        <f t="shared" si="4"/>
        <v>SLFOST</v>
      </c>
      <c r="J41" t="str">
        <f t="shared" si="5"/>
        <v>00000</v>
      </c>
      <c r="K41" t="str">
        <f t="shared" si="6"/>
        <v>SLFOST</v>
      </c>
      <c r="L41" t="str">
        <f t="shared" si="7"/>
        <v>00000</v>
      </c>
    </row>
    <row r="42" spans="1:12">
      <c r="A42" t="s">
        <v>498</v>
      </c>
      <c r="B42" t="str">
        <f t="shared" si="0"/>
        <v>SLFGDA</v>
      </c>
      <c r="C42" t="str">
        <f t="shared" si="1"/>
        <v>000000000</v>
      </c>
      <c r="D42" t="str">
        <f t="shared" si="2"/>
        <v>SLFGDA</v>
      </c>
      <c r="E42" t="str">
        <f t="shared" si="3"/>
        <v>000000000</v>
      </c>
      <c r="H42" t="s">
        <v>498</v>
      </c>
      <c r="I42" t="str">
        <f t="shared" si="4"/>
        <v>SLFGDA</v>
      </c>
      <c r="J42" t="str">
        <f t="shared" si="5"/>
        <v>000000000</v>
      </c>
      <c r="K42" t="str">
        <f t="shared" si="6"/>
        <v>SLFGDA</v>
      </c>
      <c r="L42" t="str">
        <f t="shared" si="7"/>
        <v>000000000</v>
      </c>
    </row>
    <row r="43" spans="1:12">
      <c r="A43" t="s">
        <v>499</v>
      </c>
      <c r="B43" t="str">
        <f t="shared" si="0"/>
        <v>SLFGDS</v>
      </c>
      <c r="C43" t="str">
        <f t="shared" si="1"/>
        <v/>
      </c>
      <c r="D43" t="str">
        <f t="shared" si="2"/>
        <v>SLFGDS</v>
      </c>
      <c r="E43" t="str">
        <f t="shared" si="3"/>
        <v/>
      </c>
      <c r="H43" t="s">
        <v>499</v>
      </c>
      <c r="I43" t="str">
        <f t="shared" si="4"/>
        <v>SLFGDS</v>
      </c>
      <c r="J43" t="str">
        <f t="shared" si="5"/>
        <v/>
      </c>
      <c r="K43" t="str">
        <f t="shared" si="6"/>
        <v>SLFGDS</v>
      </c>
      <c r="L43" t="str">
        <f t="shared" si="7"/>
        <v/>
      </c>
    </row>
    <row r="44" spans="1:12">
      <c r="A44" t="s">
        <v>500</v>
      </c>
      <c r="B44" t="str">
        <f t="shared" si="0"/>
        <v>SLFGDR</v>
      </c>
      <c r="C44" t="str">
        <f t="shared" si="1"/>
        <v>00</v>
      </c>
      <c r="D44" t="str">
        <f t="shared" si="2"/>
        <v>SLFGDR</v>
      </c>
      <c r="E44" t="str">
        <f t="shared" si="3"/>
        <v>00</v>
      </c>
      <c r="H44" t="s">
        <v>500</v>
      </c>
      <c r="I44" t="str">
        <f t="shared" si="4"/>
        <v>SLFGDR</v>
      </c>
      <c r="J44" t="str">
        <f t="shared" si="5"/>
        <v>00</v>
      </c>
      <c r="K44" t="str">
        <f t="shared" si="6"/>
        <v>SLFGDR</v>
      </c>
      <c r="L44" t="str">
        <f t="shared" si="7"/>
        <v>00</v>
      </c>
    </row>
    <row r="45" spans="1:12">
      <c r="A45" t="s">
        <v>501</v>
      </c>
      <c r="B45" t="str">
        <f t="shared" si="0"/>
        <v>SLFRDR</v>
      </c>
      <c r="C45" t="str">
        <f t="shared" si="1"/>
        <v>00</v>
      </c>
      <c r="D45" t="str">
        <f t="shared" si="2"/>
        <v>SLFRDR</v>
      </c>
      <c r="E45" t="str">
        <f t="shared" si="3"/>
        <v>00</v>
      </c>
      <c r="H45" t="s">
        <v>501</v>
      </c>
      <c r="I45" t="str">
        <f t="shared" si="4"/>
        <v>SLFRDR</v>
      </c>
      <c r="J45" t="str">
        <f t="shared" si="5"/>
        <v>00</v>
      </c>
      <c r="K45" t="str">
        <f t="shared" si="6"/>
        <v>SLFRDR</v>
      </c>
      <c r="L45" t="str">
        <f t="shared" si="7"/>
        <v>00</v>
      </c>
    </row>
    <row r="46" spans="1:12">
      <c r="A46" t="s">
        <v>502</v>
      </c>
      <c r="B46" t="str">
        <f t="shared" si="0"/>
        <v>SLFSCN</v>
      </c>
      <c r="C46" t="str">
        <f t="shared" si="1"/>
        <v>Y</v>
      </c>
      <c r="D46" t="str">
        <f t="shared" si="2"/>
        <v>SLFSCN</v>
      </c>
      <c r="E46" t="str">
        <f t="shared" si="3"/>
        <v>Y</v>
      </c>
      <c r="H46" t="s">
        <v>502</v>
      </c>
      <c r="I46" t="str">
        <f t="shared" si="4"/>
        <v>SLFSCN</v>
      </c>
      <c r="J46" t="str">
        <f t="shared" si="5"/>
        <v>Y</v>
      </c>
      <c r="K46" t="str">
        <f t="shared" si="6"/>
        <v>SLFSCN</v>
      </c>
      <c r="L46" t="str">
        <f t="shared" si="7"/>
        <v>Y</v>
      </c>
    </row>
    <row r="47" spans="1:12">
      <c r="A47" t="s">
        <v>503</v>
      </c>
      <c r="B47" t="str">
        <f t="shared" si="0"/>
        <v>SLFACD</v>
      </c>
      <c r="C47" t="str">
        <f t="shared" si="1"/>
        <v>ON</v>
      </c>
      <c r="D47" t="str">
        <f t="shared" si="2"/>
        <v>SLFACD</v>
      </c>
      <c r="E47" t="str">
        <f t="shared" si="3"/>
        <v>ON</v>
      </c>
      <c r="H47" t="s">
        <v>503</v>
      </c>
      <c r="I47" t="str">
        <f t="shared" si="4"/>
        <v>SLFACD</v>
      </c>
      <c r="J47" t="str">
        <f t="shared" si="5"/>
        <v>ON</v>
      </c>
      <c r="K47" t="str">
        <f t="shared" si="6"/>
        <v>SLFACD</v>
      </c>
      <c r="L47" t="str">
        <f t="shared" si="7"/>
        <v>ON</v>
      </c>
    </row>
    <row r="48" spans="1:12">
      <c r="A48" t="s">
        <v>504</v>
      </c>
      <c r="B48" t="str">
        <f t="shared" si="0"/>
        <v>SLFTCD</v>
      </c>
      <c r="C48" t="str">
        <f t="shared" si="1"/>
        <v/>
      </c>
      <c r="D48" t="str">
        <f t="shared" si="2"/>
        <v>SLFTCD</v>
      </c>
      <c r="E48" t="str">
        <f t="shared" si="3"/>
        <v/>
      </c>
      <c r="H48" t="s">
        <v>504</v>
      </c>
      <c r="I48" t="str">
        <f t="shared" si="4"/>
        <v>SLFTCD</v>
      </c>
      <c r="J48" t="str">
        <f t="shared" si="5"/>
        <v/>
      </c>
      <c r="K48" t="str">
        <f t="shared" si="6"/>
        <v>SLFTCD</v>
      </c>
      <c r="L48" t="str">
        <f t="shared" si="7"/>
        <v/>
      </c>
    </row>
    <row r="49" spans="1:12">
      <c r="A49" t="s">
        <v>505</v>
      </c>
      <c r="B49" t="str">
        <f t="shared" si="0"/>
        <v>SLFTE1</v>
      </c>
      <c r="C49" t="str">
        <f t="shared" si="1"/>
        <v/>
      </c>
      <c r="D49" t="str">
        <f t="shared" si="2"/>
        <v>SLFTE1</v>
      </c>
      <c r="E49" t="str">
        <f t="shared" si="3"/>
        <v/>
      </c>
      <c r="H49" t="s">
        <v>505</v>
      </c>
      <c r="I49" t="str">
        <f t="shared" si="4"/>
        <v>SLFTE1</v>
      </c>
      <c r="J49" t="str">
        <f t="shared" si="5"/>
        <v/>
      </c>
      <c r="K49" t="str">
        <f t="shared" si="6"/>
        <v>SLFTE1</v>
      </c>
      <c r="L49" t="str">
        <f t="shared" si="7"/>
        <v/>
      </c>
    </row>
    <row r="50" spans="1:12">
      <c r="A50" t="s">
        <v>506</v>
      </c>
      <c r="B50" t="str">
        <f t="shared" si="0"/>
        <v>SLFTE2</v>
      </c>
      <c r="C50" t="str">
        <f t="shared" si="1"/>
        <v/>
      </c>
      <c r="D50" t="str">
        <f t="shared" si="2"/>
        <v>SLFTE2</v>
      </c>
      <c r="E50" t="str">
        <f t="shared" si="3"/>
        <v/>
      </c>
      <c r="H50" t="s">
        <v>506</v>
      </c>
      <c r="I50" t="str">
        <f t="shared" si="4"/>
        <v>SLFTE2</v>
      </c>
      <c r="J50" t="str">
        <f t="shared" si="5"/>
        <v/>
      </c>
      <c r="K50" t="str">
        <f t="shared" si="6"/>
        <v>SLFTE2</v>
      </c>
      <c r="L50" t="str">
        <f t="shared" si="7"/>
        <v/>
      </c>
    </row>
    <row r="51" spans="1:12">
      <c r="A51" t="s">
        <v>507</v>
      </c>
      <c r="B51" t="str">
        <f t="shared" si="0"/>
        <v>SLFTEN</v>
      </c>
      <c r="C51" t="str">
        <f t="shared" si="1"/>
        <v/>
      </c>
      <c r="D51" t="str">
        <f t="shared" si="2"/>
        <v>SLFTEN</v>
      </c>
      <c r="E51" t="str">
        <f t="shared" si="3"/>
        <v/>
      </c>
      <c r="H51" t="s">
        <v>507</v>
      </c>
      <c r="I51" t="str">
        <f t="shared" si="4"/>
        <v>SLFTEN</v>
      </c>
      <c r="J51" t="str">
        <f t="shared" si="5"/>
        <v/>
      </c>
      <c r="K51" t="str">
        <f t="shared" si="6"/>
        <v>SLFTEN</v>
      </c>
      <c r="L51" t="str">
        <f t="shared" si="7"/>
        <v/>
      </c>
    </row>
    <row r="52" spans="1:12">
      <c r="A52" t="s">
        <v>508</v>
      </c>
      <c r="B52" t="str">
        <f t="shared" si="0"/>
        <v>SLFPVC</v>
      </c>
      <c r="C52" t="str">
        <f t="shared" si="1"/>
        <v>REG</v>
      </c>
      <c r="D52" t="str">
        <f t="shared" si="2"/>
        <v>SLFPVC</v>
      </c>
      <c r="E52" t="str">
        <f t="shared" si="3"/>
        <v>REG</v>
      </c>
      <c r="H52" t="s">
        <v>508</v>
      </c>
      <c r="I52" t="str">
        <f t="shared" si="4"/>
        <v>SLFPVC</v>
      </c>
      <c r="J52" t="str">
        <f t="shared" si="5"/>
        <v>REG</v>
      </c>
      <c r="K52" t="str">
        <f t="shared" si="6"/>
        <v>SLFPVC</v>
      </c>
      <c r="L52" t="str">
        <f t="shared" si="7"/>
        <v>REG</v>
      </c>
    </row>
    <row r="53" spans="1:12">
      <c r="A53" t="s">
        <v>509</v>
      </c>
      <c r="B53" t="str">
        <f t="shared" si="0"/>
        <v>SLFREF</v>
      </c>
      <c r="C53" t="str">
        <f t="shared" si="1"/>
        <v>ORG</v>
      </c>
      <c r="D53" t="str">
        <f t="shared" si="2"/>
        <v>SLFREF</v>
      </c>
      <c r="E53" t="str">
        <f t="shared" si="3"/>
        <v>ORG</v>
      </c>
      <c r="H53" t="s">
        <v>509</v>
      </c>
      <c r="I53" t="str">
        <f t="shared" si="4"/>
        <v>SLFREF</v>
      </c>
      <c r="J53" t="str">
        <f t="shared" si="5"/>
        <v>ORG</v>
      </c>
      <c r="K53" t="str">
        <f t="shared" si="6"/>
        <v>SLFREF</v>
      </c>
      <c r="L53" t="str">
        <f t="shared" si="7"/>
        <v>ORG</v>
      </c>
    </row>
    <row r="54" spans="1:12">
      <c r="A54" t="s">
        <v>510</v>
      </c>
      <c r="B54" t="str">
        <f t="shared" si="0"/>
        <v>SLFORT</v>
      </c>
      <c r="C54" t="str">
        <f t="shared" si="1"/>
        <v>000001129</v>
      </c>
      <c r="D54" t="str">
        <f t="shared" si="2"/>
        <v>SLFORT</v>
      </c>
      <c r="E54" t="str">
        <f t="shared" si="3"/>
        <v>000001129</v>
      </c>
      <c r="H54" t="s">
        <v>511</v>
      </c>
      <c r="I54" t="str">
        <f t="shared" si="4"/>
        <v>SLFORT</v>
      </c>
      <c r="J54" t="str">
        <f t="shared" si="5"/>
        <v>000001159</v>
      </c>
      <c r="K54" t="str">
        <f t="shared" si="6"/>
        <v>SLFORT</v>
      </c>
      <c r="L54" t="str">
        <f t="shared" si="7"/>
        <v>000001159</v>
      </c>
    </row>
    <row r="55" spans="1:12">
      <c r="A55" t="s">
        <v>512</v>
      </c>
      <c r="B55" t="str">
        <f t="shared" si="0"/>
        <v>SLFOPN</v>
      </c>
      <c r="C55" t="str">
        <f t="shared" si="1"/>
        <v/>
      </c>
      <c r="D55" t="str">
        <f t="shared" si="2"/>
        <v>SLFOPN</v>
      </c>
      <c r="E55" t="str">
        <f t="shared" si="3"/>
        <v/>
      </c>
      <c r="H55" t="s">
        <v>512</v>
      </c>
      <c r="I55" t="str">
        <f t="shared" si="4"/>
        <v>SLFOPN</v>
      </c>
      <c r="J55" t="str">
        <f t="shared" si="5"/>
        <v/>
      </c>
      <c r="K55" t="str">
        <f t="shared" si="6"/>
        <v>SLFOPN</v>
      </c>
      <c r="L55" t="str">
        <f t="shared" si="7"/>
        <v/>
      </c>
    </row>
    <row r="56" spans="1:12">
      <c r="A56" t="s">
        <v>513</v>
      </c>
      <c r="B56" t="str">
        <f t="shared" si="0"/>
        <v>SLFOTS</v>
      </c>
      <c r="C56" t="str">
        <f t="shared" si="1"/>
        <v>00000</v>
      </c>
      <c r="D56" t="str">
        <f t="shared" si="2"/>
        <v>SLFOTS</v>
      </c>
      <c r="E56" t="str">
        <f t="shared" si="3"/>
        <v>00000</v>
      </c>
      <c r="H56" t="s">
        <v>513</v>
      </c>
      <c r="I56" t="str">
        <f t="shared" si="4"/>
        <v>SLFOTS</v>
      </c>
      <c r="J56" t="str">
        <f t="shared" si="5"/>
        <v>00000</v>
      </c>
      <c r="K56" t="str">
        <f t="shared" si="6"/>
        <v>SLFOTS</v>
      </c>
      <c r="L56" t="str">
        <f t="shared" si="7"/>
        <v>00000</v>
      </c>
    </row>
    <row r="57" spans="1:12">
      <c r="A57" t="s">
        <v>514</v>
      </c>
      <c r="B57" t="str">
        <f t="shared" si="0"/>
        <v>SLFOTD</v>
      </c>
      <c r="C57" t="str">
        <f t="shared" si="1"/>
        <v>000000</v>
      </c>
      <c r="D57" t="str">
        <f t="shared" si="2"/>
        <v>SLFOTD</v>
      </c>
      <c r="E57" t="str">
        <f t="shared" si="3"/>
        <v>000000</v>
      </c>
      <c r="H57" t="s">
        <v>514</v>
      </c>
      <c r="I57" t="str">
        <f t="shared" si="4"/>
        <v>SLFOTD</v>
      </c>
      <c r="J57" t="str">
        <f t="shared" si="5"/>
        <v>000000</v>
      </c>
      <c r="K57" t="str">
        <f t="shared" si="6"/>
        <v>SLFOTD</v>
      </c>
      <c r="L57" t="str">
        <f t="shared" si="7"/>
        <v>000000</v>
      </c>
    </row>
    <row r="58" spans="1:12">
      <c r="A58" t="s">
        <v>515</v>
      </c>
      <c r="B58" t="str">
        <f t="shared" si="0"/>
        <v>SLFOTR</v>
      </c>
      <c r="C58" t="str">
        <f t="shared" si="1"/>
        <v>000</v>
      </c>
      <c r="D58" t="str">
        <f t="shared" si="2"/>
        <v>SLFOTR</v>
      </c>
      <c r="E58" t="str">
        <f t="shared" si="3"/>
        <v>000</v>
      </c>
      <c r="H58" t="s">
        <v>515</v>
      </c>
      <c r="I58" t="str">
        <f t="shared" si="4"/>
        <v>SLFOTR</v>
      </c>
      <c r="J58" t="str">
        <f t="shared" si="5"/>
        <v>000</v>
      </c>
      <c r="K58" t="str">
        <f t="shared" si="6"/>
        <v>SLFOTR</v>
      </c>
      <c r="L58" t="str">
        <f t="shared" si="7"/>
        <v>000</v>
      </c>
    </row>
    <row r="59" spans="1:12">
      <c r="A59" t="s">
        <v>516</v>
      </c>
      <c r="B59" t="str">
        <f t="shared" si="0"/>
        <v>SLFOTT</v>
      </c>
      <c r="C59" t="str">
        <f t="shared" si="1"/>
        <v>00000</v>
      </c>
      <c r="D59" t="str">
        <f t="shared" si="2"/>
        <v>SLFOTT</v>
      </c>
      <c r="E59" t="str">
        <f t="shared" si="3"/>
        <v>00000</v>
      </c>
      <c r="H59" t="s">
        <v>516</v>
      </c>
      <c r="I59" t="str">
        <f t="shared" si="4"/>
        <v>SLFOTT</v>
      </c>
      <c r="J59" t="str">
        <f t="shared" si="5"/>
        <v>00000</v>
      </c>
      <c r="K59" t="str">
        <f t="shared" si="6"/>
        <v>SLFOTT</v>
      </c>
      <c r="L59" t="str">
        <f t="shared" si="7"/>
        <v>00000</v>
      </c>
    </row>
    <row r="60" spans="1:12">
      <c r="A60" t="s">
        <v>517</v>
      </c>
      <c r="B60" t="str">
        <f t="shared" si="0"/>
        <v>SLFPLC</v>
      </c>
      <c r="C60" t="str">
        <f t="shared" si="1"/>
        <v>55010</v>
      </c>
      <c r="D60" t="str">
        <f t="shared" si="2"/>
        <v>SLFPLC</v>
      </c>
      <c r="E60" t="str">
        <f t="shared" si="3"/>
        <v>55010</v>
      </c>
      <c r="H60" t="s">
        <v>517</v>
      </c>
      <c r="I60" t="str">
        <f t="shared" si="4"/>
        <v>SLFPLC</v>
      </c>
      <c r="J60" t="str">
        <f t="shared" si="5"/>
        <v>55010</v>
      </c>
      <c r="K60" t="str">
        <f t="shared" si="6"/>
        <v>SLFPLC</v>
      </c>
      <c r="L60" t="str">
        <f t="shared" si="7"/>
        <v>55010</v>
      </c>
    </row>
    <row r="61" spans="1:12">
      <c r="A61" t="s">
        <v>518</v>
      </c>
      <c r="B61" t="str">
        <f t="shared" si="0"/>
        <v>SLFPCN</v>
      </c>
      <c r="C61" t="str">
        <f t="shared" si="1"/>
        <v>1</v>
      </c>
      <c r="D61" t="str">
        <f t="shared" si="2"/>
        <v>SLFPCN</v>
      </c>
      <c r="E61" t="str">
        <f t="shared" si="3"/>
        <v>1</v>
      </c>
      <c r="H61" t="s">
        <v>518</v>
      </c>
      <c r="I61" t="str">
        <f t="shared" si="4"/>
        <v>SLFPCN</v>
      </c>
      <c r="J61" t="str">
        <f t="shared" si="5"/>
        <v>1</v>
      </c>
      <c r="K61" t="str">
        <f t="shared" si="6"/>
        <v>SLFPCN</v>
      </c>
      <c r="L61" t="str">
        <f t="shared" si="7"/>
        <v>1</v>
      </c>
    </row>
    <row r="62" spans="1:12">
      <c r="A62" t="s">
        <v>519</v>
      </c>
      <c r="B62" t="str">
        <f t="shared" si="0"/>
        <v>SLFPDT</v>
      </c>
      <c r="C62" t="str">
        <f t="shared" si="1"/>
        <v>260123</v>
      </c>
      <c r="D62" t="str">
        <f t="shared" si="2"/>
        <v>SLFPDT</v>
      </c>
      <c r="E62" t="str">
        <f t="shared" si="3"/>
        <v>260123</v>
      </c>
      <c r="H62" t="s">
        <v>519</v>
      </c>
      <c r="I62" t="str">
        <f t="shared" si="4"/>
        <v>SLFPDT</v>
      </c>
      <c r="J62" t="str">
        <f t="shared" si="5"/>
        <v>260123</v>
      </c>
      <c r="K62" t="str">
        <f t="shared" si="6"/>
        <v>SLFPDT</v>
      </c>
      <c r="L62" t="str">
        <f t="shared" si="7"/>
        <v>260123</v>
      </c>
    </row>
    <row r="63" spans="1:12">
      <c r="A63" t="s">
        <v>520</v>
      </c>
      <c r="B63" t="str">
        <f t="shared" si="0"/>
        <v>SLFCCN</v>
      </c>
      <c r="C63" t="str">
        <f t="shared" si="1"/>
        <v>1</v>
      </c>
      <c r="D63" t="str">
        <f t="shared" si="2"/>
        <v>SLFCCN</v>
      </c>
      <c r="E63" t="str">
        <f t="shared" si="3"/>
        <v>1</v>
      </c>
      <c r="H63" t="s">
        <v>520</v>
      </c>
      <c r="I63" t="str">
        <f t="shared" si="4"/>
        <v>SLFCCN</v>
      </c>
      <c r="J63" t="str">
        <f t="shared" si="5"/>
        <v>1</v>
      </c>
      <c r="K63" t="str">
        <f t="shared" si="6"/>
        <v>SLFCCN</v>
      </c>
      <c r="L63" t="str">
        <f t="shared" si="7"/>
        <v>1</v>
      </c>
    </row>
    <row r="64" spans="1:12">
      <c r="A64" t="s">
        <v>521</v>
      </c>
      <c r="B64" t="str">
        <f t="shared" si="0"/>
        <v>SLFCDT</v>
      </c>
      <c r="C64" t="str">
        <f t="shared" si="1"/>
        <v>260123</v>
      </c>
      <c r="D64" t="str">
        <f t="shared" si="2"/>
        <v>SLFCDT</v>
      </c>
      <c r="E64" t="str">
        <f t="shared" si="3"/>
        <v>260123</v>
      </c>
      <c r="H64" t="s">
        <v>521</v>
      </c>
      <c r="I64" t="str">
        <f t="shared" si="4"/>
        <v>SLFCDT</v>
      </c>
      <c r="J64" t="str">
        <f t="shared" si="5"/>
        <v>260123</v>
      </c>
      <c r="K64" t="str">
        <f t="shared" si="6"/>
        <v>SLFCDT</v>
      </c>
      <c r="L64" t="str">
        <f t="shared" si="7"/>
        <v>260123</v>
      </c>
    </row>
    <row r="65" spans="1:12">
      <c r="A65" t="s">
        <v>522</v>
      </c>
      <c r="B65" t="str">
        <f t="shared" si="0"/>
        <v>SLFCTM</v>
      </c>
      <c r="C65" t="str">
        <f t="shared" si="1"/>
        <v>154417</v>
      </c>
      <c r="D65" t="str">
        <f t="shared" si="2"/>
        <v>SLFCTM</v>
      </c>
      <c r="E65" t="str">
        <f t="shared" si="3"/>
        <v>154417</v>
      </c>
      <c r="H65" t="s">
        <v>522</v>
      </c>
      <c r="I65" t="str">
        <f t="shared" si="4"/>
        <v>SLFCTM</v>
      </c>
      <c r="J65" t="str">
        <f t="shared" si="5"/>
        <v>154417</v>
      </c>
      <c r="K65" t="str">
        <f t="shared" si="6"/>
        <v>SLFCTM</v>
      </c>
      <c r="L65" t="str">
        <f t="shared" si="7"/>
        <v>154417</v>
      </c>
    </row>
    <row r="66" spans="1:12">
      <c r="A66" t="s">
        <v>523</v>
      </c>
      <c r="B66" t="str">
        <f t="shared" si="0"/>
        <v>SLFORD</v>
      </c>
      <c r="C66" t="str">
        <f t="shared" si="1"/>
        <v/>
      </c>
      <c r="D66" t="str">
        <f t="shared" si="2"/>
        <v>SLFORD</v>
      </c>
      <c r="E66" t="str">
        <f t="shared" si="3"/>
        <v/>
      </c>
      <c r="H66" t="s">
        <v>523</v>
      </c>
      <c r="I66" t="str">
        <f t="shared" si="4"/>
        <v>SLFORD</v>
      </c>
      <c r="J66" t="str">
        <f t="shared" si="5"/>
        <v/>
      </c>
      <c r="K66" t="str">
        <f t="shared" si="6"/>
        <v>SLFORD</v>
      </c>
      <c r="L66" t="str">
        <f t="shared" si="7"/>
        <v/>
      </c>
    </row>
    <row r="67" spans="1:12">
      <c r="A67" t="s">
        <v>524</v>
      </c>
      <c r="B67" t="str">
        <f t="shared" ref="B67:B71" si="8">TRIM(
  SUBSTITUTE(
    SUBSTITUTE(
      LEFT(A67, FIND(":", A67) - 1),
      """",
      ""
    ),
    ",",
    ""
  )
)</f>
        <v>ASFPRO</v>
      </c>
      <c r="C67" t="str">
        <f t="shared" ref="C67:C71" si="9">TRIM(
  SUBSTITUTE(
    SUBSTITUTE(
      _xlfn.TEXTAFTER(A67, ":"),
      """",
      ""
    ),
    ",",
    ""
  )
)</f>
        <v/>
      </c>
      <c r="D67" t="str">
        <f t="shared" ref="D67:D71" si="10">B67</f>
        <v>ASFPRO</v>
      </c>
      <c r="E67" t="str">
        <f t="shared" ref="E67:E71" si="11">C67</f>
        <v/>
      </c>
      <c r="H67" t="s">
        <v>524</v>
      </c>
      <c r="I67" t="str">
        <f t="shared" ref="I67:I71" si="12">TRIM(
  SUBSTITUTE(
    SUBSTITUTE(
      LEFT(H67, FIND(":", H67) - 1),
      """",
      ""
    ),
    ",",
    ""
  )
)</f>
        <v>ASFPRO</v>
      </c>
      <c r="J67" t="str">
        <f t="shared" ref="J67:J71" si="13">TRIM(
  SUBSTITUTE(
    SUBSTITUTE(
      _xlfn.TEXTAFTER(H67, ":"),
      """",
      ""
    ),
    ",",
    ""
  )
)</f>
        <v/>
      </c>
      <c r="K67" t="str">
        <f t="shared" ref="K67:K71" si="14">I67</f>
        <v>ASFPRO</v>
      </c>
      <c r="L67" t="str">
        <f t="shared" ref="L67:L71" si="15">J67</f>
        <v/>
      </c>
    </row>
    <row r="68" spans="1:12">
      <c r="A68" t="s">
        <v>525</v>
      </c>
      <c r="B68" t="str">
        <f t="shared" si="8"/>
        <v>ASFSST</v>
      </c>
      <c r="C68" t="str">
        <f t="shared" si="9"/>
        <v>0</v>
      </c>
      <c r="D68" t="str">
        <f t="shared" si="10"/>
        <v>ASFSST</v>
      </c>
      <c r="E68" t="str">
        <f t="shared" si="11"/>
        <v>0</v>
      </c>
      <c r="H68" t="s">
        <v>525</v>
      </c>
      <c r="I68" t="str">
        <f t="shared" si="12"/>
        <v>ASFSST</v>
      </c>
      <c r="J68" t="str">
        <f t="shared" si="13"/>
        <v>0</v>
      </c>
      <c r="K68" t="str">
        <f t="shared" si="14"/>
        <v>ASFSST</v>
      </c>
      <c r="L68" t="str">
        <f t="shared" si="15"/>
        <v>0</v>
      </c>
    </row>
    <row r="69" spans="1:12">
      <c r="A69" t="s">
        <v>526</v>
      </c>
      <c r="B69" t="str">
        <f t="shared" si="8"/>
        <v>ASFIST</v>
      </c>
      <c r="C69" t="str">
        <f t="shared" si="9"/>
        <v>0</v>
      </c>
      <c r="D69" t="str">
        <f t="shared" si="10"/>
        <v>ASFIST</v>
      </c>
      <c r="E69" t="str">
        <f t="shared" si="11"/>
        <v>0</v>
      </c>
      <c r="H69" t="s">
        <v>526</v>
      </c>
      <c r="I69" t="str">
        <f t="shared" si="12"/>
        <v>ASFIST</v>
      </c>
      <c r="J69" t="str">
        <f t="shared" si="13"/>
        <v>0</v>
      </c>
      <c r="K69" t="str">
        <f t="shared" si="14"/>
        <v>ASFIST</v>
      </c>
      <c r="L69" t="str">
        <f t="shared" si="15"/>
        <v>0</v>
      </c>
    </row>
    <row r="70" spans="1:12">
      <c r="A70" t="s">
        <v>527</v>
      </c>
      <c r="B70" t="str">
        <f t="shared" si="8"/>
        <v>SLFEML</v>
      </c>
      <c r="C70" t="str">
        <f t="shared" si="9"/>
        <v/>
      </c>
      <c r="D70" t="str">
        <f t="shared" si="10"/>
        <v>SLFEML</v>
      </c>
      <c r="E70" t="str">
        <f t="shared" si="11"/>
        <v/>
      </c>
      <c r="H70" t="s">
        <v>527</v>
      </c>
      <c r="I70" t="str">
        <f t="shared" si="12"/>
        <v>SLFEML</v>
      </c>
      <c r="J70" t="str">
        <f t="shared" si="13"/>
        <v/>
      </c>
      <c r="K70" t="str">
        <f t="shared" si="14"/>
        <v>SLFEML</v>
      </c>
      <c r="L70" t="str">
        <f t="shared" si="15"/>
        <v/>
      </c>
    </row>
    <row r="71" spans="1:12">
      <c r="A71" t="s">
        <v>528</v>
      </c>
      <c r="B71" t="str">
        <f t="shared" si="8"/>
        <v>SLFECN</v>
      </c>
      <c r="C71" t="str">
        <f t="shared" si="9"/>
        <v>0</v>
      </c>
      <c r="D71" t="str">
        <f t="shared" si="10"/>
        <v>SLFECN</v>
      </c>
      <c r="E71" t="str">
        <f t="shared" si="11"/>
        <v>0</v>
      </c>
      <c r="H71" t="s">
        <v>528</v>
      </c>
      <c r="I71" t="str">
        <f t="shared" si="12"/>
        <v>SLFECN</v>
      </c>
      <c r="J71" t="str">
        <f t="shared" si="13"/>
        <v>0</v>
      </c>
      <c r="K71" t="str">
        <f t="shared" si="14"/>
        <v>SLFECN</v>
      </c>
      <c r="L71" t="str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9FAC-21A4-4B74-862D-A5EFA453D913}">
  <dimension ref="A1:AI72"/>
  <sheetViews>
    <sheetView workbookViewId="0">
      <selection activeCell="B3" sqref="B3:E3"/>
    </sheetView>
  </sheetViews>
  <sheetFormatPr defaultRowHeight="14.5"/>
  <cols>
    <col min="1" max="1" width="16.54296875" customWidth="1"/>
    <col min="10" max="10" width="12" customWidth="1"/>
    <col min="11" max="11" width="16.54296875" customWidth="1"/>
    <col min="20" max="20" width="13.453125" customWidth="1"/>
  </cols>
  <sheetData>
    <row r="1" spans="1:35">
      <c r="A1" s="96" t="s">
        <v>529</v>
      </c>
      <c r="B1" s="96"/>
      <c r="C1" s="96"/>
      <c r="D1" s="96"/>
      <c r="E1" s="96"/>
      <c r="G1" s="96" t="s">
        <v>530</v>
      </c>
      <c r="H1" s="96"/>
      <c r="I1" s="96"/>
      <c r="J1" s="96"/>
      <c r="K1" s="96"/>
      <c r="M1" s="96" t="s">
        <v>531</v>
      </c>
      <c r="N1" s="96"/>
      <c r="O1" s="96"/>
      <c r="P1" s="96"/>
      <c r="Q1" s="96"/>
      <c r="S1" s="96" t="s">
        <v>532</v>
      </c>
      <c r="T1" s="96"/>
      <c r="U1" s="96"/>
      <c r="V1" s="96"/>
      <c r="W1" s="96"/>
      <c r="Y1" s="95" t="s">
        <v>533</v>
      </c>
      <c r="Z1" s="95"/>
      <c r="AA1" s="95"/>
      <c r="AB1" s="95"/>
      <c r="AC1" s="95"/>
      <c r="AE1" s="95" t="s">
        <v>534</v>
      </c>
      <c r="AF1" s="95"/>
      <c r="AG1" s="95"/>
      <c r="AH1" s="95"/>
      <c r="AI1" s="95"/>
    </row>
    <row r="3" spans="1:35">
      <c r="A3" t="s">
        <v>453</v>
      </c>
      <c r="B3" t="str">
        <f>TRIM(
  SUBSTITUTE(
    SUBSTITUTE(
      LEFT(A3, FIND(":", A3) - 1),
      """",
      ""
    ),
    ",",
    ""
  )
)</f>
        <v>SLFTTP</v>
      </c>
      <c r="C3" t="str">
        <f>TRIM(
  SUBSTITUTE(
    SUBSTITUTE(
      _xlfn.TEXTAFTER(A3, ":"),
      """",
      ""
    ),
    ",",
    ""
  )
)</f>
        <v>01</v>
      </c>
      <c r="D3" t="str">
        <f>B3</f>
        <v>SLFTTP</v>
      </c>
      <c r="E3" t="str">
        <f>C3</f>
        <v>01</v>
      </c>
      <c r="G3" t="s">
        <v>535</v>
      </c>
      <c r="H3" t="str">
        <f>TRIM(
  SUBSTITUTE(
    SUBSTITUTE(
      LEFT(G3, FIND(":", G3) - 1),
      """",
      ""
    ),
    ",",
    ""
  )
)</f>
        <v>SLFTTP</v>
      </c>
      <c r="I3" t="str">
        <f>TRIM(
  SUBSTITUTE(
    SUBSTITUTE(
      _xlfn.TEXTAFTER(G3, ":"),
      """",
      ""
    ),
    ",",
    ""
  )
)</f>
        <v>01</v>
      </c>
      <c r="J3" t="str">
        <f>H3</f>
        <v>SLFTTP</v>
      </c>
      <c r="K3" t="str">
        <f>I3</f>
        <v>01</v>
      </c>
      <c r="M3" t="s">
        <v>535</v>
      </c>
      <c r="N3" t="str">
        <f>TRIM(
  SUBSTITUTE(
    SUBSTITUTE(
      LEFT(M3, FIND(":", M3) - 1),
      """",
      ""
    ),
    ",",
    ""
  )
)</f>
        <v>SLFTTP</v>
      </c>
      <c r="O3" t="str">
        <f>TRIM(
  SUBSTITUTE(
    SUBSTITUTE(
      _xlfn.TEXTAFTER(M3, ":"),
      """",
      ""
    ),
    ",",
    ""
  )
)</f>
        <v>01</v>
      </c>
      <c r="P3" t="str">
        <f>N3</f>
        <v>SLFTTP</v>
      </c>
      <c r="Q3" t="str">
        <f>O3</f>
        <v>01</v>
      </c>
      <c r="S3" t="s">
        <v>535</v>
      </c>
      <c r="T3" t="str">
        <f>TRIM(
  SUBSTITUTE(
    SUBSTITUTE(
      LEFT(S3, FIND(":", S3) - 1),
      """",
      ""
    ),
    ",",
    ""
  )
)</f>
        <v>SLFTTP</v>
      </c>
      <c r="U3" t="str">
        <f>TRIM(
  SUBSTITUTE(
    SUBSTITUTE(
      _xlfn.TEXTAFTER(S3, ":"),
      """",
      ""
    ),
    ",",
    ""
  )
)</f>
        <v>01</v>
      </c>
      <c r="V3" t="str">
        <f>T3</f>
        <v>SLFTTP</v>
      </c>
      <c r="W3" t="str">
        <f>U3</f>
        <v>01</v>
      </c>
      <c r="Y3" t="s">
        <v>535</v>
      </c>
      <c r="Z3" t="str">
        <f>TRIM(
  SUBSTITUTE(
    SUBSTITUTE(
      LEFT(Y3, FIND(":", Y3) - 1),
      """",
      ""
    ),
    ",",
    ""
  )
)</f>
        <v>SLFTTP</v>
      </c>
      <c r="AA3" t="str">
        <f>TRIM(
  SUBSTITUTE(
    SUBSTITUTE(
      _xlfn.TEXTAFTER(Y3, ":"),
      """",
      ""
    ),
    ",",
    ""
  )
)</f>
        <v>01</v>
      </c>
      <c r="AB3" t="str">
        <f>Z3</f>
        <v>SLFTTP</v>
      </c>
      <c r="AC3" t="str">
        <f>AA3</f>
        <v>01</v>
      </c>
      <c r="AE3" t="s">
        <v>419</v>
      </c>
      <c r="AF3" t="str">
        <f>TRIM(
  SUBSTITUTE(
    SUBSTITUTE(
      LEFT(AE3, FIND(":", AE3) - 1),
      """",
      ""
    ),
    ",",
    ""
  )
)</f>
        <v>TNFTTP</v>
      </c>
      <c r="AG3" t="str">
        <f>TRIM(
  SUBSTITUTE(
    SUBSTITUTE(
      _xlfn.TEXTAFTER(AE3, ":"),
      """",
      ""
    ),
    ",",
    ""
  )
)</f>
        <v>01</v>
      </c>
      <c r="AH3" t="str">
        <f>AF3</f>
        <v>TNFTTP</v>
      </c>
      <c r="AI3" t="str">
        <f>AG3</f>
        <v>01</v>
      </c>
    </row>
    <row r="4" spans="1:35">
      <c r="A4" t="s">
        <v>454</v>
      </c>
      <c r="B4" t="str">
        <f t="shared" ref="B4:B67" si="0">TRIM(
  SUBSTITUTE(
    SUBSTITUTE(
      LEFT(A4, FIND(":", A4) - 1),
      """",
      ""
    ),
    ",",
    ""
  )
)</f>
        <v>SLFLNT</v>
      </c>
      <c r="C4" t="str">
        <f t="shared" ref="C4:C67" si="1">TRIM(
  SUBSTITUTE(
    SUBSTITUTE(
      _xlfn.TEXTAFTER(A4, ":"),
      """",
      ""
    ),
    ",",
    ""
  )
)</f>
        <v>01</v>
      </c>
      <c r="D4" t="str">
        <f t="shared" ref="D4:D67" si="2">B4</f>
        <v>SLFLNT</v>
      </c>
      <c r="E4" t="str">
        <f t="shared" ref="E4:E67" si="3">C4</f>
        <v>01</v>
      </c>
      <c r="G4" t="s">
        <v>454</v>
      </c>
      <c r="H4" t="str">
        <f t="shared" ref="H4:H67" si="4">TRIM(
  SUBSTITUTE(
    SUBSTITUTE(
      LEFT(G4, FIND(":", G4) - 1),
      """",
      ""
    ),
    ",",
    ""
  )
)</f>
        <v>SLFLNT</v>
      </c>
      <c r="I4" t="str">
        <f t="shared" ref="I4:I67" si="5">TRIM(
  SUBSTITUTE(
    SUBSTITUTE(
      _xlfn.TEXTAFTER(G4, ":"),
      """",
      ""
    ),
    ",",
    ""
  )
)</f>
        <v>01</v>
      </c>
      <c r="J4" t="str">
        <f t="shared" ref="J4:J67" si="6">H4</f>
        <v>SLFLNT</v>
      </c>
      <c r="K4" t="str">
        <f t="shared" ref="K4:K67" si="7">I4</f>
        <v>01</v>
      </c>
      <c r="M4" t="s">
        <v>454</v>
      </c>
      <c r="N4" t="str">
        <f t="shared" ref="N4:N67" si="8">TRIM(
  SUBSTITUTE(
    SUBSTITUTE(
      LEFT(M4, FIND(":", M4) - 1),
      """",
      ""
    ),
    ",",
    ""
  )
)</f>
        <v>SLFLNT</v>
      </c>
      <c r="O4" t="str">
        <f t="shared" ref="O4:O67" si="9">TRIM(
  SUBSTITUTE(
    SUBSTITUTE(
      _xlfn.TEXTAFTER(M4, ":"),
      """",
      ""
    ),
    ",",
    ""
  )
)</f>
        <v>01</v>
      </c>
      <c r="P4" t="str">
        <f t="shared" ref="P4:P67" si="10">N4</f>
        <v>SLFLNT</v>
      </c>
      <c r="Q4" t="str">
        <f t="shared" ref="Q4:Q67" si="11">O4</f>
        <v>01</v>
      </c>
      <c r="S4" t="s">
        <v>454</v>
      </c>
      <c r="T4" t="str">
        <f t="shared" ref="T4:T67" si="12">TRIM(
  SUBSTITUTE(
    SUBSTITUTE(
      LEFT(S4, FIND(":", S4) - 1),
      """",
      ""
    ),
    ",",
    ""
  )
)</f>
        <v>SLFLNT</v>
      </c>
      <c r="U4" t="str">
        <f t="shared" ref="U4:U67" si="13">TRIM(
  SUBSTITUTE(
    SUBSTITUTE(
      _xlfn.TEXTAFTER(S4, ":"),
      """",
      ""
    ),
    ",",
    ""
  )
)</f>
        <v>01</v>
      </c>
      <c r="V4" t="str">
        <f t="shared" ref="V4:V67" si="14">T4</f>
        <v>SLFLNT</v>
      </c>
      <c r="W4" t="str">
        <f t="shared" ref="W4:W67" si="15">U4</f>
        <v>01</v>
      </c>
      <c r="Y4" t="s">
        <v>536</v>
      </c>
      <c r="Z4" t="str">
        <f t="shared" ref="Z4:Z67" si="16">TRIM(
  SUBSTITUTE(
    SUBSTITUTE(
      LEFT(Y4, FIND(":", Y4) - 1),
      """",
      ""
    ),
    ",",
    ""
  )
)</f>
        <v>SLFLNT</v>
      </c>
      <c r="AA4" t="str">
        <f t="shared" ref="AA4:AA67" si="17">TRIM(
  SUBSTITUTE(
    SUBSTITUTE(
      _xlfn.TEXTAFTER(Y4, ":"),
      """",
      ""
    ),
    ",",
    ""
  )
)</f>
        <v>XH</v>
      </c>
      <c r="AB4" t="str">
        <f t="shared" ref="AB4:AB67" si="18">Z4</f>
        <v>SLFLNT</v>
      </c>
      <c r="AC4" t="str">
        <f t="shared" ref="AC4:AC67" si="19">AA4</f>
        <v>XH</v>
      </c>
      <c r="AE4" t="s">
        <v>537</v>
      </c>
      <c r="AF4" t="str">
        <f t="shared" ref="AF4:AF36" si="20">TRIM(
  SUBSTITUTE(
    SUBSTITUTE(
      LEFT(AE4, FIND(":", AE4) - 1),
      """",
      ""
    ),
    ",",
    ""
  )
)</f>
        <v>TNFTDT</v>
      </c>
      <c r="AG4" t="str">
        <f t="shared" ref="AG4:AG36" si="21">TRIM(
  SUBSTITUTE(
    SUBSTITUTE(
      _xlfn.TEXTAFTER(AE4, ":"),
      """",
      ""
    ),
    ",",
    ""
  )
)</f>
        <v>260126</v>
      </c>
      <c r="AH4" t="str">
        <f t="shared" ref="AH4:AH36" si="22">AF4</f>
        <v>TNFTDT</v>
      </c>
      <c r="AI4" t="str">
        <f t="shared" ref="AI4:AI36" si="23">AG4</f>
        <v>260126</v>
      </c>
    </row>
    <row r="5" spans="1:35">
      <c r="A5" t="s">
        <v>538</v>
      </c>
      <c r="B5" t="str">
        <f t="shared" si="0"/>
        <v>SLFTDT</v>
      </c>
      <c r="C5" t="str">
        <f t="shared" si="1"/>
        <v>260126</v>
      </c>
      <c r="D5" t="str">
        <f t="shared" si="2"/>
        <v>SLFTDT</v>
      </c>
      <c r="E5" t="str">
        <f t="shared" si="3"/>
        <v>260126</v>
      </c>
      <c r="G5" t="s">
        <v>538</v>
      </c>
      <c r="H5" t="str">
        <f t="shared" si="4"/>
        <v>SLFTDT</v>
      </c>
      <c r="I5" t="str">
        <f t="shared" si="5"/>
        <v>260126</v>
      </c>
      <c r="J5" t="str">
        <f t="shared" si="6"/>
        <v>SLFTDT</v>
      </c>
      <c r="K5" t="str">
        <f t="shared" si="7"/>
        <v>260126</v>
      </c>
      <c r="M5" t="s">
        <v>538</v>
      </c>
      <c r="N5" t="str">
        <f t="shared" si="8"/>
        <v>SLFTDT</v>
      </c>
      <c r="O5" t="str">
        <f t="shared" si="9"/>
        <v>260126</v>
      </c>
      <c r="P5" t="str">
        <f t="shared" si="10"/>
        <v>SLFTDT</v>
      </c>
      <c r="Q5" t="str">
        <f t="shared" si="11"/>
        <v>260126</v>
      </c>
      <c r="S5" t="s">
        <v>538</v>
      </c>
      <c r="T5" t="str">
        <f t="shared" si="12"/>
        <v>SLFTDT</v>
      </c>
      <c r="U5" t="str">
        <f t="shared" si="13"/>
        <v>260126</v>
      </c>
      <c r="V5" t="str">
        <f t="shared" si="14"/>
        <v>SLFTDT</v>
      </c>
      <c r="W5" t="str">
        <f t="shared" si="15"/>
        <v>260126</v>
      </c>
      <c r="Y5" t="s">
        <v>538</v>
      </c>
      <c r="Z5" t="str">
        <f t="shared" si="16"/>
        <v>SLFTDT</v>
      </c>
      <c r="AA5" t="str">
        <f t="shared" si="17"/>
        <v>260126</v>
      </c>
      <c r="AB5" t="str">
        <f t="shared" si="18"/>
        <v>SLFTDT</v>
      </c>
      <c r="AC5" t="str">
        <f t="shared" si="19"/>
        <v>260126</v>
      </c>
      <c r="AE5" t="s">
        <v>539</v>
      </c>
      <c r="AF5" t="str">
        <f t="shared" si="20"/>
        <v>TNFTTM</v>
      </c>
      <c r="AG5" t="str">
        <f t="shared" si="21"/>
        <v>163959</v>
      </c>
      <c r="AH5" t="str">
        <f t="shared" si="22"/>
        <v>TNFTTM</v>
      </c>
      <c r="AI5" t="str">
        <f t="shared" si="23"/>
        <v>163959</v>
      </c>
    </row>
    <row r="6" spans="1:35">
      <c r="A6" t="s">
        <v>540</v>
      </c>
      <c r="B6" t="str">
        <f t="shared" si="0"/>
        <v>SLFTTM</v>
      </c>
      <c r="C6" t="str">
        <f t="shared" si="1"/>
        <v>163959</v>
      </c>
      <c r="D6" t="str">
        <f t="shared" si="2"/>
        <v>SLFTTM</v>
      </c>
      <c r="E6" t="str">
        <f t="shared" si="3"/>
        <v>163959</v>
      </c>
      <c r="G6" t="s">
        <v>540</v>
      </c>
      <c r="H6" t="str">
        <f t="shared" si="4"/>
        <v>SLFTTM</v>
      </c>
      <c r="I6" t="str">
        <f t="shared" si="5"/>
        <v>163959</v>
      </c>
      <c r="J6" t="str">
        <f t="shared" si="6"/>
        <v>SLFTTM</v>
      </c>
      <c r="K6" t="str">
        <f t="shared" si="7"/>
        <v>163959</v>
      </c>
      <c r="M6" t="s">
        <v>540</v>
      </c>
      <c r="N6" t="str">
        <f t="shared" si="8"/>
        <v>SLFTTM</v>
      </c>
      <c r="O6" t="str">
        <f t="shared" si="9"/>
        <v>163959</v>
      </c>
      <c r="P6" t="str">
        <f t="shared" si="10"/>
        <v>SLFTTM</v>
      </c>
      <c r="Q6" t="str">
        <f t="shared" si="11"/>
        <v>163959</v>
      </c>
      <c r="S6" t="s">
        <v>540</v>
      </c>
      <c r="T6" t="str">
        <f t="shared" si="12"/>
        <v>SLFTTM</v>
      </c>
      <c r="U6" t="str">
        <f t="shared" si="13"/>
        <v>163959</v>
      </c>
      <c r="V6" t="str">
        <f t="shared" si="14"/>
        <v>SLFTTM</v>
      </c>
      <c r="W6" t="str">
        <f t="shared" si="15"/>
        <v>163959</v>
      </c>
      <c r="Y6" t="s">
        <v>540</v>
      </c>
      <c r="Z6" t="str">
        <f t="shared" si="16"/>
        <v>SLFTTM</v>
      </c>
      <c r="AA6" t="str">
        <f t="shared" si="17"/>
        <v>163959</v>
      </c>
      <c r="AB6" t="str">
        <f t="shared" si="18"/>
        <v>SLFTTM</v>
      </c>
      <c r="AC6" t="str">
        <f t="shared" si="19"/>
        <v>163959</v>
      </c>
      <c r="AE6" t="s">
        <v>541</v>
      </c>
      <c r="AF6" t="str">
        <f t="shared" si="20"/>
        <v>TNFCLK</v>
      </c>
      <c r="AG6" t="str">
        <f t="shared" si="21"/>
        <v>00006</v>
      </c>
      <c r="AH6" t="str">
        <f t="shared" si="22"/>
        <v>TNFCLK</v>
      </c>
      <c r="AI6" t="str">
        <f t="shared" si="23"/>
        <v>00006</v>
      </c>
    </row>
    <row r="7" spans="1:35">
      <c r="A7" t="s">
        <v>542</v>
      </c>
      <c r="B7" t="str">
        <f t="shared" si="0"/>
        <v>SLFCLK</v>
      </c>
      <c r="C7" t="str">
        <f t="shared" si="1"/>
        <v>00006</v>
      </c>
      <c r="D7" t="str">
        <f t="shared" si="2"/>
        <v>SLFCLK</v>
      </c>
      <c r="E7" t="str">
        <f t="shared" si="3"/>
        <v>00006</v>
      </c>
      <c r="G7" t="s">
        <v>542</v>
      </c>
      <c r="H7" t="str">
        <f t="shared" si="4"/>
        <v>SLFCLK</v>
      </c>
      <c r="I7" t="str">
        <f t="shared" si="5"/>
        <v>00006</v>
      </c>
      <c r="J7" t="str">
        <f t="shared" si="6"/>
        <v>SLFCLK</v>
      </c>
      <c r="K7" t="str">
        <f t="shared" si="7"/>
        <v>00006</v>
      </c>
      <c r="M7" t="s">
        <v>542</v>
      </c>
      <c r="N7" t="str">
        <f t="shared" si="8"/>
        <v>SLFCLK</v>
      </c>
      <c r="O7" t="str">
        <f t="shared" si="9"/>
        <v>00006</v>
      </c>
      <c r="P7" t="str">
        <f t="shared" si="10"/>
        <v>SLFCLK</v>
      </c>
      <c r="Q7" t="str">
        <f t="shared" si="11"/>
        <v>00006</v>
      </c>
      <c r="S7" t="s">
        <v>542</v>
      </c>
      <c r="T7" t="str">
        <f t="shared" si="12"/>
        <v>SLFCLK</v>
      </c>
      <c r="U7" t="str">
        <f t="shared" si="13"/>
        <v>00006</v>
      </c>
      <c r="V7" t="str">
        <f t="shared" si="14"/>
        <v>SLFCLK</v>
      </c>
      <c r="W7" t="str">
        <f t="shared" si="15"/>
        <v>00006</v>
      </c>
      <c r="Y7" t="s">
        <v>542</v>
      </c>
      <c r="Z7" t="str">
        <f t="shared" si="16"/>
        <v>SLFCLK</v>
      </c>
      <c r="AA7" t="str">
        <f t="shared" si="17"/>
        <v>00006</v>
      </c>
      <c r="AB7" t="str">
        <f t="shared" si="18"/>
        <v>SLFCLK</v>
      </c>
      <c r="AC7" t="str">
        <f t="shared" si="19"/>
        <v>00006</v>
      </c>
      <c r="AE7" t="s">
        <v>543</v>
      </c>
      <c r="AF7" t="str">
        <f t="shared" si="20"/>
        <v>TNFREG</v>
      </c>
      <c r="AG7" t="str">
        <f t="shared" si="21"/>
        <v>006</v>
      </c>
      <c r="AH7" t="str">
        <f t="shared" si="22"/>
        <v>TNFREG</v>
      </c>
      <c r="AI7" t="str">
        <f t="shared" si="23"/>
        <v>006</v>
      </c>
    </row>
    <row r="8" spans="1:35">
      <c r="A8" t="s">
        <v>544</v>
      </c>
      <c r="B8" t="str">
        <f t="shared" si="0"/>
        <v>SLFREG</v>
      </c>
      <c r="C8" t="str">
        <f t="shared" si="1"/>
        <v>006</v>
      </c>
      <c r="D8" t="str">
        <f t="shared" si="2"/>
        <v>SLFREG</v>
      </c>
      <c r="E8" t="str">
        <f t="shared" si="3"/>
        <v>006</v>
      </c>
      <c r="G8" t="s">
        <v>544</v>
      </c>
      <c r="H8" t="str">
        <f t="shared" si="4"/>
        <v>SLFREG</v>
      </c>
      <c r="I8" t="str">
        <f t="shared" si="5"/>
        <v>006</v>
      </c>
      <c r="J8" t="str">
        <f t="shared" si="6"/>
        <v>SLFREG</v>
      </c>
      <c r="K8" t="str">
        <f t="shared" si="7"/>
        <v>006</v>
      </c>
      <c r="M8" t="s">
        <v>544</v>
      </c>
      <c r="N8" t="str">
        <f t="shared" si="8"/>
        <v>SLFREG</v>
      </c>
      <c r="O8" t="str">
        <f t="shared" si="9"/>
        <v>006</v>
      </c>
      <c r="P8" t="str">
        <f t="shared" si="10"/>
        <v>SLFREG</v>
      </c>
      <c r="Q8" t="str">
        <f t="shared" si="11"/>
        <v>006</v>
      </c>
      <c r="S8" t="s">
        <v>544</v>
      </c>
      <c r="T8" t="str">
        <f t="shared" si="12"/>
        <v>SLFREG</v>
      </c>
      <c r="U8" t="str">
        <f t="shared" si="13"/>
        <v>006</v>
      </c>
      <c r="V8" t="str">
        <f t="shared" si="14"/>
        <v>SLFREG</v>
      </c>
      <c r="W8" t="str">
        <f t="shared" si="15"/>
        <v>006</v>
      </c>
      <c r="Y8" t="s">
        <v>544</v>
      </c>
      <c r="Z8" t="str">
        <f t="shared" si="16"/>
        <v>SLFREG</v>
      </c>
      <c r="AA8" t="str">
        <f t="shared" si="17"/>
        <v>006</v>
      </c>
      <c r="AB8" t="str">
        <f t="shared" si="18"/>
        <v>SLFREG</v>
      </c>
      <c r="AC8" t="str">
        <f t="shared" si="19"/>
        <v>006</v>
      </c>
      <c r="AE8" t="s">
        <v>545</v>
      </c>
      <c r="AF8" t="str">
        <f t="shared" si="20"/>
        <v>TNFTTX</v>
      </c>
      <c r="AG8" t="str">
        <f t="shared" si="21"/>
        <v>00539</v>
      </c>
      <c r="AH8" t="str">
        <f t="shared" si="22"/>
        <v>TNFTTX</v>
      </c>
      <c r="AI8" t="str">
        <f t="shared" si="23"/>
        <v>00539</v>
      </c>
    </row>
    <row r="9" spans="1:35">
      <c r="A9" t="s">
        <v>546</v>
      </c>
      <c r="B9" t="str">
        <f t="shared" si="0"/>
        <v>SLFTTX</v>
      </c>
      <c r="C9" t="str">
        <f t="shared" si="1"/>
        <v>00539</v>
      </c>
      <c r="D9" t="str">
        <f t="shared" si="2"/>
        <v>SLFTTX</v>
      </c>
      <c r="E9" t="str">
        <f t="shared" si="3"/>
        <v>00539</v>
      </c>
      <c r="G9" t="s">
        <v>546</v>
      </c>
      <c r="H9" t="str">
        <f t="shared" si="4"/>
        <v>SLFTTX</v>
      </c>
      <c r="I9" t="str">
        <f t="shared" si="5"/>
        <v>00539</v>
      </c>
      <c r="J9" t="str">
        <f t="shared" si="6"/>
        <v>SLFTTX</v>
      </c>
      <c r="K9" t="str">
        <f t="shared" si="7"/>
        <v>00539</v>
      </c>
      <c r="M9" t="s">
        <v>546</v>
      </c>
      <c r="N9" t="str">
        <f t="shared" si="8"/>
        <v>SLFTTX</v>
      </c>
      <c r="O9" t="str">
        <f t="shared" si="9"/>
        <v>00539</v>
      </c>
      <c r="P9" t="str">
        <f t="shared" si="10"/>
        <v>SLFTTX</v>
      </c>
      <c r="Q9" t="str">
        <f t="shared" si="11"/>
        <v>00539</v>
      </c>
      <c r="S9" t="s">
        <v>546</v>
      </c>
      <c r="T9" t="str">
        <f t="shared" si="12"/>
        <v>SLFTTX</v>
      </c>
      <c r="U9" t="str">
        <f t="shared" si="13"/>
        <v>00539</v>
      </c>
      <c r="V9" t="str">
        <f t="shared" si="14"/>
        <v>SLFTTX</v>
      </c>
      <c r="W9" t="str">
        <f t="shared" si="15"/>
        <v>00539</v>
      </c>
      <c r="Y9" t="s">
        <v>546</v>
      </c>
      <c r="Z9" t="str">
        <f t="shared" si="16"/>
        <v>SLFTTX</v>
      </c>
      <c r="AA9" t="str">
        <f t="shared" si="17"/>
        <v>00539</v>
      </c>
      <c r="AB9" t="str">
        <f t="shared" si="18"/>
        <v>SLFTTX</v>
      </c>
      <c r="AC9" t="str">
        <f t="shared" si="19"/>
        <v>00539</v>
      </c>
      <c r="AE9" t="s">
        <v>547</v>
      </c>
      <c r="AF9" t="str">
        <f t="shared" si="20"/>
        <v>TNFTSQ</v>
      </c>
      <c r="AG9" t="str">
        <f t="shared" si="21"/>
        <v>00006</v>
      </c>
      <c r="AH9" t="str">
        <f t="shared" si="22"/>
        <v>TNFTSQ</v>
      </c>
      <c r="AI9" t="str">
        <f t="shared" si="23"/>
        <v>00006</v>
      </c>
    </row>
    <row r="10" spans="1:35">
      <c r="A10" t="s">
        <v>460</v>
      </c>
      <c r="B10" t="str">
        <f t="shared" si="0"/>
        <v>SLFTSQ</v>
      </c>
      <c r="C10" t="str">
        <f t="shared" si="1"/>
        <v>00001</v>
      </c>
      <c r="D10" t="str">
        <f t="shared" si="2"/>
        <v>SLFTSQ</v>
      </c>
      <c r="E10" t="str">
        <f t="shared" si="3"/>
        <v>00001</v>
      </c>
      <c r="G10" t="s">
        <v>461</v>
      </c>
      <c r="H10" t="str">
        <f t="shared" si="4"/>
        <v>SLFTSQ</v>
      </c>
      <c r="I10" t="str">
        <f t="shared" si="5"/>
        <v>00002</v>
      </c>
      <c r="J10" t="str">
        <f t="shared" si="6"/>
        <v>SLFTSQ</v>
      </c>
      <c r="K10" t="str">
        <f t="shared" si="7"/>
        <v>00002</v>
      </c>
      <c r="M10" t="s">
        <v>548</v>
      </c>
      <c r="N10" t="str">
        <f t="shared" si="8"/>
        <v>SLFTSQ</v>
      </c>
      <c r="O10" t="str">
        <f t="shared" si="9"/>
        <v>00003</v>
      </c>
      <c r="P10" t="str">
        <f t="shared" si="10"/>
        <v>SLFTSQ</v>
      </c>
      <c r="Q10" t="str">
        <f t="shared" si="11"/>
        <v>00003</v>
      </c>
      <c r="S10" t="s">
        <v>549</v>
      </c>
      <c r="T10" t="str">
        <f t="shared" si="12"/>
        <v>SLFTSQ</v>
      </c>
      <c r="U10" t="str">
        <f t="shared" si="13"/>
        <v>00004</v>
      </c>
      <c r="V10" t="str">
        <f t="shared" si="14"/>
        <v>SLFTSQ</v>
      </c>
      <c r="W10" t="str">
        <f t="shared" si="15"/>
        <v>00004</v>
      </c>
      <c r="Y10" t="s">
        <v>550</v>
      </c>
      <c r="Z10" t="str">
        <f t="shared" si="16"/>
        <v>SLFTSQ</v>
      </c>
      <c r="AA10" t="str">
        <f t="shared" si="17"/>
        <v>00005</v>
      </c>
      <c r="AB10" t="str">
        <f t="shared" si="18"/>
        <v>SLFTSQ</v>
      </c>
      <c r="AC10" t="str">
        <f t="shared" si="19"/>
        <v>00005</v>
      </c>
      <c r="AE10" t="s">
        <v>551</v>
      </c>
      <c r="AF10" t="str">
        <f t="shared" si="20"/>
        <v>TNFFCD</v>
      </c>
      <c r="AG10" t="str">
        <f t="shared" si="21"/>
        <v>DC</v>
      </c>
      <c r="AH10" t="str">
        <f t="shared" si="22"/>
        <v>TNFFCD</v>
      </c>
      <c r="AI10" t="str">
        <f t="shared" si="23"/>
        <v>DC</v>
      </c>
    </row>
    <row r="11" spans="1:35">
      <c r="A11" t="s">
        <v>552</v>
      </c>
      <c r="B11" t="str">
        <f t="shared" si="0"/>
        <v>SLFSKU</v>
      </c>
      <c r="C11" t="str">
        <f t="shared" si="1"/>
        <v>000301286</v>
      </c>
      <c r="D11" t="str">
        <f t="shared" si="2"/>
        <v>SLFSKU</v>
      </c>
      <c r="E11" t="str">
        <f t="shared" si="3"/>
        <v>000301286</v>
      </c>
      <c r="G11" t="s">
        <v>462</v>
      </c>
      <c r="H11" t="str">
        <f t="shared" si="4"/>
        <v>SLFSKU</v>
      </c>
      <c r="I11" t="str">
        <f t="shared" si="5"/>
        <v>000334898</v>
      </c>
      <c r="J11" t="str">
        <f t="shared" si="6"/>
        <v>SLFSKU</v>
      </c>
      <c r="K11" t="str">
        <f t="shared" si="7"/>
        <v>000334898</v>
      </c>
      <c r="M11" t="s">
        <v>553</v>
      </c>
      <c r="N11" t="str">
        <f t="shared" si="8"/>
        <v>SLFSKU</v>
      </c>
      <c r="O11" t="str">
        <f t="shared" si="9"/>
        <v>000050481</v>
      </c>
      <c r="P11" t="str">
        <f t="shared" si="10"/>
        <v>SLFSKU</v>
      </c>
      <c r="Q11" t="str">
        <f t="shared" si="11"/>
        <v>000050481</v>
      </c>
      <c r="S11" t="s">
        <v>554</v>
      </c>
      <c r="T11" t="str">
        <f t="shared" si="12"/>
        <v>SLFSKU</v>
      </c>
      <c r="U11" t="str">
        <f t="shared" si="13"/>
        <v>000491309</v>
      </c>
      <c r="V11" t="str">
        <f t="shared" si="14"/>
        <v>SLFSKU</v>
      </c>
      <c r="W11" t="str">
        <f t="shared" si="15"/>
        <v>000491309</v>
      </c>
      <c r="Y11" t="s">
        <v>555</v>
      </c>
      <c r="Z11" t="str">
        <f t="shared" si="16"/>
        <v>SLFSKU</v>
      </c>
      <c r="AA11" t="str">
        <f t="shared" si="17"/>
        <v>000000000</v>
      </c>
      <c r="AB11" t="str">
        <f t="shared" si="18"/>
        <v>SLFSKU</v>
      </c>
      <c r="AC11" t="str">
        <f t="shared" si="19"/>
        <v>000000000</v>
      </c>
      <c r="AE11" t="s">
        <v>556</v>
      </c>
      <c r="AF11" t="str">
        <f t="shared" si="20"/>
        <v>TNFAMT</v>
      </c>
      <c r="AG11" t="str">
        <f t="shared" si="21"/>
        <v>00000002912</v>
      </c>
      <c r="AH11" t="str">
        <f t="shared" si="22"/>
        <v>TNFAMT</v>
      </c>
      <c r="AI11" t="str">
        <f t="shared" si="23"/>
        <v>00000002912</v>
      </c>
    </row>
    <row r="12" spans="1:35">
      <c r="A12" t="s">
        <v>464</v>
      </c>
      <c r="B12" t="str">
        <f t="shared" si="0"/>
        <v>SLFQTY</v>
      </c>
      <c r="C12" t="str">
        <f t="shared" si="1"/>
        <v>000000100</v>
      </c>
      <c r="D12" t="str">
        <f t="shared" si="2"/>
        <v>SLFQTY</v>
      </c>
      <c r="E12" t="str">
        <f t="shared" si="3"/>
        <v>000000100</v>
      </c>
      <c r="G12" t="s">
        <v>464</v>
      </c>
      <c r="H12" t="str">
        <f t="shared" si="4"/>
        <v>SLFQTY</v>
      </c>
      <c r="I12" t="str">
        <f t="shared" si="5"/>
        <v>000000100</v>
      </c>
      <c r="J12" t="str">
        <f t="shared" si="6"/>
        <v>SLFQTY</v>
      </c>
      <c r="K12" t="str">
        <f t="shared" si="7"/>
        <v>000000100</v>
      </c>
      <c r="M12" t="s">
        <v>464</v>
      </c>
      <c r="N12" t="str">
        <f t="shared" si="8"/>
        <v>SLFQTY</v>
      </c>
      <c r="O12" t="str">
        <f t="shared" si="9"/>
        <v>000000100</v>
      </c>
      <c r="P12" t="str">
        <f t="shared" si="10"/>
        <v>SLFQTY</v>
      </c>
      <c r="Q12" t="str">
        <f t="shared" si="11"/>
        <v>000000100</v>
      </c>
      <c r="S12" t="s">
        <v>464</v>
      </c>
      <c r="T12" t="str">
        <f t="shared" si="12"/>
        <v>SLFQTY</v>
      </c>
      <c r="U12" t="str">
        <f t="shared" si="13"/>
        <v>000000100</v>
      </c>
      <c r="V12" t="str">
        <f t="shared" si="14"/>
        <v>SLFQTY</v>
      </c>
      <c r="W12" t="str">
        <f t="shared" si="15"/>
        <v>000000100</v>
      </c>
      <c r="Y12" t="s">
        <v>464</v>
      </c>
      <c r="Z12" t="str">
        <f t="shared" si="16"/>
        <v>SLFQTY</v>
      </c>
      <c r="AA12" t="str">
        <f t="shared" si="17"/>
        <v>000000100</v>
      </c>
      <c r="AB12" t="str">
        <f t="shared" si="18"/>
        <v>SLFQTY</v>
      </c>
      <c r="AC12" t="str">
        <f t="shared" si="19"/>
        <v>000000100</v>
      </c>
      <c r="AE12" t="s">
        <v>428</v>
      </c>
      <c r="AF12" t="str">
        <f t="shared" si="20"/>
        <v>TNFAMN</v>
      </c>
      <c r="AG12" t="str">
        <f t="shared" si="21"/>
        <v/>
      </c>
      <c r="AH12" t="str">
        <f t="shared" si="22"/>
        <v>TNFAMN</v>
      </c>
      <c r="AI12" t="str">
        <f t="shared" si="23"/>
        <v/>
      </c>
    </row>
    <row r="13" spans="1:35">
      <c r="A13" t="s">
        <v>465</v>
      </c>
      <c r="B13" t="str">
        <f t="shared" si="0"/>
        <v>SLFQTN</v>
      </c>
      <c r="C13" t="str">
        <f t="shared" si="1"/>
        <v/>
      </c>
      <c r="D13" t="str">
        <f t="shared" si="2"/>
        <v>SLFQTN</v>
      </c>
      <c r="E13" t="str">
        <f t="shared" si="3"/>
        <v/>
      </c>
      <c r="G13" t="s">
        <v>465</v>
      </c>
      <c r="H13" t="str">
        <f t="shared" si="4"/>
        <v>SLFQTN</v>
      </c>
      <c r="I13" t="str">
        <f t="shared" si="5"/>
        <v/>
      </c>
      <c r="J13" t="str">
        <f t="shared" si="6"/>
        <v>SLFQTN</v>
      </c>
      <c r="K13" t="str">
        <f t="shared" si="7"/>
        <v/>
      </c>
      <c r="M13" t="s">
        <v>465</v>
      </c>
      <c r="N13" t="str">
        <f t="shared" si="8"/>
        <v>SLFQTN</v>
      </c>
      <c r="O13" t="str">
        <f t="shared" si="9"/>
        <v/>
      </c>
      <c r="P13" t="str">
        <f t="shared" si="10"/>
        <v>SLFQTN</v>
      </c>
      <c r="Q13" t="str">
        <f t="shared" si="11"/>
        <v/>
      </c>
      <c r="S13" t="s">
        <v>465</v>
      </c>
      <c r="T13" t="str">
        <f t="shared" si="12"/>
        <v>SLFQTN</v>
      </c>
      <c r="U13" t="str">
        <f t="shared" si="13"/>
        <v/>
      </c>
      <c r="V13" t="str">
        <f t="shared" si="14"/>
        <v>SLFQTN</v>
      </c>
      <c r="W13" t="str">
        <f t="shared" si="15"/>
        <v/>
      </c>
      <c r="Y13" t="s">
        <v>465</v>
      </c>
      <c r="Z13" t="str">
        <f t="shared" si="16"/>
        <v>SLFQTN</v>
      </c>
      <c r="AA13" t="str">
        <f t="shared" si="17"/>
        <v/>
      </c>
      <c r="AB13" t="str">
        <f t="shared" si="18"/>
        <v>SLFQTN</v>
      </c>
      <c r="AC13" t="str">
        <f t="shared" si="19"/>
        <v/>
      </c>
      <c r="AE13" t="s">
        <v>557</v>
      </c>
      <c r="AF13" t="str">
        <f t="shared" si="20"/>
        <v>TNFCCD</v>
      </c>
      <c r="AG13" t="str">
        <f t="shared" si="21"/>
        <v>***************8644</v>
      </c>
      <c r="AH13" t="str">
        <f t="shared" si="22"/>
        <v>TNFCCD</v>
      </c>
      <c r="AI13" t="str">
        <f t="shared" si="23"/>
        <v>***************8644</v>
      </c>
    </row>
    <row r="14" spans="1:35">
      <c r="A14" t="s">
        <v>558</v>
      </c>
      <c r="B14" t="str">
        <f t="shared" si="0"/>
        <v>SLFORG</v>
      </c>
      <c r="C14" t="str">
        <f t="shared" si="1"/>
        <v>000000659</v>
      </c>
      <c r="D14" t="str">
        <f t="shared" si="2"/>
        <v>SLFORG</v>
      </c>
      <c r="E14" t="str">
        <f t="shared" si="3"/>
        <v>000000659</v>
      </c>
      <c r="G14" t="s">
        <v>466</v>
      </c>
      <c r="H14" t="str">
        <f t="shared" si="4"/>
        <v>SLFORG</v>
      </c>
      <c r="I14" t="str">
        <f t="shared" si="5"/>
        <v>000001129</v>
      </c>
      <c r="J14" t="str">
        <f t="shared" si="6"/>
        <v>SLFORG</v>
      </c>
      <c r="K14" t="str">
        <f t="shared" si="7"/>
        <v>000001129</v>
      </c>
      <c r="M14" t="s">
        <v>559</v>
      </c>
      <c r="N14" t="str">
        <f t="shared" si="8"/>
        <v>SLFORG</v>
      </c>
      <c r="O14" t="str">
        <f t="shared" si="9"/>
        <v>000000399</v>
      </c>
      <c r="P14" t="str">
        <f t="shared" si="10"/>
        <v>SLFORG</v>
      </c>
      <c r="Q14" t="str">
        <f t="shared" si="11"/>
        <v>000000399</v>
      </c>
      <c r="S14" t="s">
        <v>560</v>
      </c>
      <c r="T14" t="str">
        <f t="shared" si="12"/>
        <v>SLFORG</v>
      </c>
      <c r="U14" t="str">
        <f t="shared" si="13"/>
        <v>000000389</v>
      </c>
      <c r="V14" t="str">
        <f t="shared" si="14"/>
        <v>SLFORG</v>
      </c>
      <c r="W14" t="str">
        <f t="shared" si="15"/>
        <v>000000389</v>
      </c>
      <c r="Y14" t="s">
        <v>561</v>
      </c>
      <c r="Z14" t="str">
        <f t="shared" si="16"/>
        <v>SLFORG</v>
      </c>
      <c r="AA14" t="str">
        <f t="shared" si="17"/>
        <v>000000000</v>
      </c>
      <c r="AB14" t="str">
        <f t="shared" si="18"/>
        <v>SLFORG</v>
      </c>
      <c r="AC14" t="str">
        <f t="shared" si="19"/>
        <v>000000000</v>
      </c>
      <c r="AE14" t="s">
        <v>430</v>
      </c>
      <c r="AF14" t="str">
        <f t="shared" si="20"/>
        <v>TNFEXP</v>
      </c>
      <c r="AG14" t="str">
        <f t="shared" si="21"/>
        <v>0000</v>
      </c>
      <c r="AH14" t="str">
        <f t="shared" si="22"/>
        <v>TNFEXP</v>
      </c>
      <c r="AI14" t="str">
        <f t="shared" si="23"/>
        <v>0000</v>
      </c>
    </row>
    <row r="15" spans="1:35">
      <c r="A15" t="s">
        <v>468</v>
      </c>
      <c r="B15" t="str">
        <f t="shared" si="0"/>
        <v>SLFORN</v>
      </c>
      <c r="C15" t="str">
        <f t="shared" si="1"/>
        <v/>
      </c>
      <c r="D15" t="str">
        <f t="shared" si="2"/>
        <v>SLFORN</v>
      </c>
      <c r="E15" t="str">
        <f t="shared" si="3"/>
        <v/>
      </c>
      <c r="G15" t="s">
        <v>468</v>
      </c>
      <c r="H15" t="str">
        <f t="shared" si="4"/>
        <v>SLFORN</v>
      </c>
      <c r="I15" t="str">
        <f t="shared" si="5"/>
        <v/>
      </c>
      <c r="J15" t="str">
        <f t="shared" si="6"/>
        <v>SLFORN</v>
      </c>
      <c r="K15" t="str">
        <f t="shared" si="7"/>
        <v/>
      </c>
      <c r="M15" t="s">
        <v>468</v>
      </c>
      <c r="N15" t="str">
        <f t="shared" si="8"/>
        <v>SLFORN</v>
      </c>
      <c r="O15" t="str">
        <f t="shared" si="9"/>
        <v/>
      </c>
      <c r="P15" t="str">
        <f t="shared" si="10"/>
        <v>SLFORN</v>
      </c>
      <c r="Q15" t="str">
        <f t="shared" si="11"/>
        <v/>
      </c>
      <c r="S15" t="s">
        <v>468</v>
      </c>
      <c r="T15" t="str">
        <f t="shared" si="12"/>
        <v>SLFORN</v>
      </c>
      <c r="U15" t="str">
        <f t="shared" si="13"/>
        <v/>
      </c>
      <c r="V15" t="str">
        <f t="shared" si="14"/>
        <v>SLFORN</v>
      </c>
      <c r="W15" t="str">
        <f t="shared" si="15"/>
        <v/>
      </c>
      <c r="Y15" t="s">
        <v>468</v>
      </c>
      <c r="Z15" t="str">
        <f t="shared" si="16"/>
        <v>SLFORN</v>
      </c>
      <c r="AA15" t="str">
        <f t="shared" si="17"/>
        <v/>
      </c>
      <c r="AB15" t="str">
        <f t="shared" si="18"/>
        <v>SLFORN</v>
      </c>
      <c r="AC15" t="str">
        <f t="shared" si="19"/>
        <v/>
      </c>
      <c r="AE15" t="s">
        <v>562</v>
      </c>
      <c r="AF15" t="str">
        <f t="shared" si="20"/>
        <v>TNFAUT</v>
      </c>
      <c r="AG15" t="str">
        <f t="shared" si="21"/>
        <v>899130</v>
      </c>
      <c r="AH15" t="str">
        <f t="shared" si="22"/>
        <v>TNFAUT</v>
      </c>
      <c r="AI15" t="str">
        <f t="shared" si="23"/>
        <v>899130</v>
      </c>
    </row>
    <row r="16" spans="1:35">
      <c r="A16" t="s">
        <v>469</v>
      </c>
      <c r="B16" t="str">
        <f t="shared" si="0"/>
        <v>SLFADC</v>
      </c>
      <c r="C16" t="str">
        <f t="shared" si="1"/>
        <v>0000</v>
      </c>
      <c r="D16" t="str">
        <f t="shared" si="2"/>
        <v>SLFADC</v>
      </c>
      <c r="E16" t="str">
        <f t="shared" si="3"/>
        <v>0000</v>
      </c>
      <c r="G16" t="s">
        <v>469</v>
      </c>
      <c r="H16" t="str">
        <f t="shared" si="4"/>
        <v>SLFADC</v>
      </c>
      <c r="I16" t="str">
        <f t="shared" si="5"/>
        <v>0000</v>
      </c>
      <c r="J16" t="str">
        <f t="shared" si="6"/>
        <v>SLFADC</v>
      </c>
      <c r="K16" t="str">
        <f t="shared" si="7"/>
        <v>0000</v>
      </c>
      <c r="M16" t="s">
        <v>469</v>
      </c>
      <c r="N16" t="str">
        <f t="shared" si="8"/>
        <v>SLFADC</v>
      </c>
      <c r="O16" t="str">
        <f t="shared" si="9"/>
        <v>0000</v>
      </c>
      <c r="P16" t="str">
        <f t="shared" si="10"/>
        <v>SLFADC</v>
      </c>
      <c r="Q16" t="str">
        <f t="shared" si="11"/>
        <v>0000</v>
      </c>
      <c r="S16" t="s">
        <v>469</v>
      </c>
      <c r="T16" t="str">
        <f t="shared" si="12"/>
        <v>SLFADC</v>
      </c>
      <c r="U16" t="str">
        <f t="shared" si="13"/>
        <v>0000</v>
      </c>
      <c r="V16" t="str">
        <f t="shared" si="14"/>
        <v>SLFADC</v>
      </c>
      <c r="W16" t="str">
        <f t="shared" si="15"/>
        <v>0000</v>
      </c>
      <c r="Y16" t="s">
        <v>469</v>
      </c>
      <c r="Z16" t="str">
        <f t="shared" si="16"/>
        <v>SLFADC</v>
      </c>
      <c r="AA16" t="str">
        <f t="shared" si="17"/>
        <v>0000</v>
      </c>
      <c r="AB16" t="str">
        <f t="shared" si="18"/>
        <v>SLFADC</v>
      </c>
      <c r="AC16" t="str">
        <f t="shared" si="19"/>
        <v>0000</v>
      </c>
      <c r="AE16" t="s">
        <v>432</v>
      </c>
      <c r="AF16" t="str">
        <f t="shared" si="20"/>
        <v>TNFRFC</v>
      </c>
      <c r="AG16" t="str">
        <f t="shared" si="21"/>
        <v/>
      </c>
      <c r="AH16" t="str">
        <f t="shared" si="22"/>
        <v>TNFRFC</v>
      </c>
      <c r="AI16" t="str">
        <f t="shared" si="23"/>
        <v/>
      </c>
    </row>
    <row r="17" spans="1:35">
      <c r="A17" t="s">
        <v>470</v>
      </c>
      <c r="B17" t="str">
        <f t="shared" si="0"/>
        <v>SLFADP</v>
      </c>
      <c r="C17" t="str">
        <f t="shared" si="1"/>
        <v>000000000</v>
      </c>
      <c r="D17" t="str">
        <f t="shared" si="2"/>
        <v>SLFADP</v>
      </c>
      <c r="E17" t="str">
        <f t="shared" si="3"/>
        <v>000000000</v>
      </c>
      <c r="G17" t="s">
        <v>470</v>
      </c>
      <c r="H17" t="str">
        <f t="shared" si="4"/>
        <v>SLFADP</v>
      </c>
      <c r="I17" t="str">
        <f t="shared" si="5"/>
        <v>000000000</v>
      </c>
      <c r="J17" t="str">
        <f t="shared" si="6"/>
        <v>SLFADP</v>
      </c>
      <c r="K17" t="str">
        <f t="shared" si="7"/>
        <v>000000000</v>
      </c>
      <c r="M17" t="s">
        <v>470</v>
      </c>
      <c r="N17" t="str">
        <f t="shared" si="8"/>
        <v>SLFADP</v>
      </c>
      <c r="O17" t="str">
        <f t="shared" si="9"/>
        <v>000000000</v>
      </c>
      <c r="P17" t="str">
        <f t="shared" si="10"/>
        <v>SLFADP</v>
      </c>
      <c r="Q17" t="str">
        <f t="shared" si="11"/>
        <v>000000000</v>
      </c>
      <c r="S17" t="s">
        <v>470</v>
      </c>
      <c r="T17" t="str">
        <f t="shared" si="12"/>
        <v>SLFADP</v>
      </c>
      <c r="U17" t="str">
        <f t="shared" si="13"/>
        <v>000000000</v>
      </c>
      <c r="V17" t="str">
        <f t="shared" si="14"/>
        <v>SLFADP</v>
      </c>
      <c r="W17" t="str">
        <f t="shared" si="15"/>
        <v>000000000</v>
      </c>
      <c r="Y17" t="s">
        <v>470</v>
      </c>
      <c r="Z17" t="str">
        <f t="shared" si="16"/>
        <v>SLFADP</v>
      </c>
      <c r="AA17" t="str">
        <f t="shared" si="17"/>
        <v>000000000</v>
      </c>
      <c r="AB17" t="str">
        <f t="shared" si="18"/>
        <v>SLFADP</v>
      </c>
      <c r="AC17" t="str">
        <f t="shared" si="19"/>
        <v>000000000</v>
      </c>
      <c r="AE17" t="s">
        <v>433</v>
      </c>
      <c r="AF17" t="str">
        <f t="shared" si="20"/>
        <v>TNFRDS</v>
      </c>
      <c r="AG17" t="str">
        <f t="shared" si="21"/>
        <v/>
      </c>
      <c r="AH17" t="str">
        <f t="shared" si="22"/>
        <v>TNFRDS</v>
      </c>
      <c r="AI17" t="str">
        <f t="shared" si="23"/>
        <v/>
      </c>
    </row>
    <row r="18" spans="1:35">
      <c r="A18" t="s">
        <v>471</v>
      </c>
      <c r="B18" t="str">
        <f t="shared" si="0"/>
        <v>SLFADN</v>
      </c>
      <c r="C18" t="str">
        <f t="shared" si="1"/>
        <v/>
      </c>
      <c r="D18" t="str">
        <f t="shared" si="2"/>
        <v>SLFADN</v>
      </c>
      <c r="E18" t="str">
        <f t="shared" si="3"/>
        <v/>
      </c>
      <c r="G18" t="s">
        <v>471</v>
      </c>
      <c r="H18" t="str">
        <f t="shared" si="4"/>
        <v>SLFADN</v>
      </c>
      <c r="I18" t="str">
        <f t="shared" si="5"/>
        <v/>
      </c>
      <c r="J18" t="str">
        <f t="shared" si="6"/>
        <v>SLFADN</v>
      </c>
      <c r="K18" t="str">
        <f t="shared" si="7"/>
        <v/>
      </c>
      <c r="M18" t="s">
        <v>471</v>
      </c>
      <c r="N18" t="str">
        <f t="shared" si="8"/>
        <v>SLFADN</v>
      </c>
      <c r="O18" t="str">
        <f t="shared" si="9"/>
        <v/>
      </c>
      <c r="P18" t="str">
        <f t="shared" si="10"/>
        <v>SLFADN</v>
      </c>
      <c r="Q18" t="str">
        <f t="shared" si="11"/>
        <v/>
      </c>
      <c r="S18" t="s">
        <v>471</v>
      </c>
      <c r="T18" t="str">
        <f t="shared" si="12"/>
        <v>SLFADN</v>
      </c>
      <c r="U18" t="str">
        <f t="shared" si="13"/>
        <v/>
      </c>
      <c r="V18" t="str">
        <f t="shared" si="14"/>
        <v>SLFADN</v>
      </c>
      <c r="W18" t="str">
        <f t="shared" si="15"/>
        <v/>
      </c>
      <c r="Y18" t="s">
        <v>471</v>
      </c>
      <c r="Z18" t="str">
        <f t="shared" si="16"/>
        <v>SLFADN</v>
      </c>
      <c r="AA18" t="str">
        <f t="shared" si="17"/>
        <v/>
      </c>
      <c r="AB18" t="str">
        <f t="shared" si="18"/>
        <v>SLFADN</v>
      </c>
      <c r="AC18" t="str">
        <f t="shared" si="19"/>
        <v/>
      </c>
      <c r="AE18" t="s">
        <v>434</v>
      </c>
      <c r="AF18" t="str">
        <f t="shared" si="20"/>
        <v>TNFMBR</v>
      </c>
      <c r="AG18" t="str">
        <f t="shared" si="21"/>
        <v/>
      </c>
      <c r="AH18" t="str">
        <f t="shared" si="22"/>
        <v>TNFMBR</v>
      </c>
      <c r="AI18" t="str">
        <f t="shared" si="23"/>
        <v/>
      </c>
    </row>
    <row r="19" spans="1:35">
      <c r="A19" t="s">
        <v>472</v>
      </c>
      <c r="B19" t="str">
        <f t="shared" si="0"/>
        <v>SLFOVR</v>
      </c>
      <c r="C19" t="str">
        <f t="shared" si="1"/>
        <v>000000000</v>
      </c>
      <c r="D19" t="str">
        <f t="shared" si="2"/>
        <v>SLFOVR</v>
      </c>
      <c r="E19" t="str">
        <f t="shared" si="3"/>
        <v>000000000</v>
      </c>
      <c r="G19" t="s">
        <v>472</v>
      </c>
      <c r="H19" t="str">
        <f t="shared" si="4"/>
        <v>SLFOVR</v>
      </c>
      <c r="I19" t="str">
        <f t="shared" si="5"/>
        <v>000000000</v>
      </c>
      <c r="J19" t="str">
        <f t="shared" si="6"/>
        <v>SLFOVR</v>
      </c>
      <c r="K19" t="str">
        <f t="shared" si="7"/>
        <v>000000000</v>
      </c>
      <c r="M19" t="s">
        <v>472</v>
      </c>
      <c r="N19" t="str">
        <f t="shared" si="8"/>
        <v>SLFOVR</v>
      </c>
      <c r="O19" t="str">
        <f t="shared" si="9"/>
        <v>000000000</v>
      </c>
      <c r="P19" t="str">
        <f t="shared" si="10"/>
        <v>SLFOVR</v>
      </c>
      <c r="Q19" t="str">
        <f t="shared" si="11"/>
        <v>000000000</v>
      </c>
      <c r="S19" t="s">
        <v>472</v>
      </c>
      <c r="T19" t="str">
        <f t="shared" si="12"/>
        <v>SLFOVR</v>
      </c>
      <c r="U19" t="str">
        <f t="shared" si="13"/>
        <v>000000000</v>
      </c>
      <c r="V19" t="str">
        <f t="shared" si="14"/>
        <v>SLFOVR</v>
      </c>
      <c r="W19" t="str">
        <f t="shared" si="15"/>
        <v>000000000</v>
      </c>
      <c r="Y19" t="s">
        <v>472</v>
      </c>
      <c r="Z19" t="str">
        <f t="shared" si="16"/>
        <v>SLFOVR</v>
      </c>
      <c r="AA19" t="str">
        <f t="shared" si="17"/>
        <v>000000000</v>
      </c>
      <c r="AB19" t="str">
        <f t="shared" si="18"/>
        <v>SLFOVR</v>
      </c>
      <c r="AC19" t="str">
        <f t="shared" si="19"/>
        <v>000000000</v>
      </c>
      <c r="AE19" t="s">
        <v>435</v>
      </c>
      <c r="AF19" t="str">
        <f t="shared" si="20"/>
        <v>TNFSTS</v>
      </c>
      <c r="AG19" t="str">
        <f t="shared" si="21"/>
        <v/>
      </c>
      <c r="AH19" t="str">
        <f t="shared" si="22"/>
        <v>TNFSTS</v>
      </c>
      <c r="AI19" t="str">
        <f t="shared" si="23"/>
        <v/>
      </c>
    </row>
    <row r="20" spans="1:35">
      <c r="A20" t="s">
        <v>473</v>
      </c>
      <c r="B20" t="str">
        <f t="shared" si="0"/>
        <v>SLFOVN</v>
      </c>
      <c r="C20" t="str">
        <f t="shared" si="1"/>
        <v/>
      </c>
      <c r="D20" t="str">
        <f t="shared" si="2"/>
        <v>SLFOVN</v>
      </c>
      <c r="E20" t="str">
        <f t="shared" si="3"/>
        <v/>
      </c>
      <c r="G20" t="s">
        <v>473</v>
      </c>
      <c r="H20" t="str">
        <f t="shared" si="4"/>
        <v>SLFOVN</v>
      </c>
      <c r="I20" t="str">
        <f t="shared" si="5"/>
        <v/>
      </c>
      <c r="J20" t="str">
        <f t="shared" si="6"/>
        <v>SLFOVN</v>
      </c>
      <c r="K20" t="str">
        <f t="shared" si="7"/>
        <v/>
      </c>
      <c r="M20" t="s">
        <v>473</v>
      </c>
      <c r="N20" t="str">
        <f t="shared" si="8"/>
        <v>SLFOVN</v>
      </c>
      <c r="O20" t="str">
        <f t="shared" si="9"/>
        <v/>
      </c>
      <c r="P20" t="str">
        <f t="shared" si="10"/>
        <v>SLFOVN</v>
      </c>
      <c r="Q20" t="str">
        <f t="shared" si="11"/>
        <v/>
      </c>
      <c r="S20" t="s">
        <v>473</v>
      </c>
      <c r="T20" t="str">
        <f t="shared" si="12"/>
        <v>SLFOVN</v>
      </c>
      <c r="U20" t="str">
        <f t="shared" si="13"/>
        <v/>
      </c>
      <c r="V20" t="str">
        <f t="shared" si="14"/>
        <v>SLFOVN</v>
      </c>
      <c r="W20" t="str">
        <f t="shared" si="15"/>
        <v/>
      </c>
      <c r="Y20" t="s">
        <v>473</v>
      </c>
      <c r="Z20" t="str">
        <f t="shared" si="16"/>
        <v>SLFOVN</v>
      </c>
      <c r="AA20" t="str">
        <f t="shared" si="17"/>
        <v/>
      </c>
      <c r="AB20" t="str">
        <f t="shared" si="18"/>
        <v>SLFOVN</v>
      </c>
      <c r="AC20" t="str">
        <f t="shared" si="19"/>
        <v/>
      </c>
      <c r="AE20" t="s">
        <v>436</v>
      </c>
      <c r="AF20" t="str">
        <f t="shared" si="20"/>
        <v>TNFESI</v>
      </c>
      <c r="AG20" t="str">
        <f t="shared" si="21"/>
        <v/>
      </c>
      <c r="AH20" t="str">
        <f t="shared" si="22"/>
        <v>TNFESI</v>
      </c>
      <c r="AI20" t="str">
        <f t="shared" si="23"/>
        <v/>
      </c>
    </row>
    <row r="21" spans="1:35">
      <c r="A21" t="s">
        <v>474</v>
      </c>
      <c r="B21" t="str">
        <f t="shared" si="0"/>
        <v>SLFDST</v>
      </c>
      <c r="C21" t="str">
        <f t="shared" si="1"/>
        <v/>
      </c>
      <c r="D21" t="str">
        <f t="shared" si="2"/>
        <v>SLFDST</v>
      </c>
      <c r="E21" t="str">
        <f t="shared" si="3"/>
        <v/>
      </c>
      <c r="G21" t="s">
        <v>474</v>
      </c>
      <c r="H21" t="str">
        <f t="shared" si="4"/>
        <v>SLFDST</v>
      </c>
      <c r="I21" t="str">
        <f t="shared" si="5"/>
        <v/>
      </c>
      <c r="J21" t="str">
        <f t="shared" si="6"/>
        <v>SLFDST</v>
      </c>
      <c r="K21" t="str">
        <f t="shared" si="7"/>
        <v/>
      </c>
      <c r="M21" t="s">
        <v>474</v>
      </c>
      <c r="N21" t="str">
        <f t="shared" si="8"/>
        <v>SLFDST</v>
      </c>
      <c r="O21" t="str">
        <f t="shared" si="9"/>
        <v/>
      </c>
      <c r="P21" t="str">
        <f t="shared" si="10"/>
        <v>SLFDST</v>
      </c>
      <c r="Q21" t="str">
        <f t="shared" si="11"/>
        <v/>
      </c>
      <c r="S21" t="s">
        <v>474</v>
      </c>
      <c r="T21" t="str">
        <f t="shared" si="12"/>
        <v>SLFDST</v>
      </c>
      <c r="U21" t="str">
        <f t="shared" si="13"/>
        <v/>
      </c>
      <c r="V21" t="str">
        <f t="shared" si="14"/>
        <v>SLFDST</v>
      </c>
      <c r="W21" t="str">
        <f t="shared" si="15"/>
        <v/>
      </c>
      <c r="Y21" t="s">
        <v>474</v>
      </c>
      <c r="Z21" t="str">
        <f t="shared" si="16"/>
        <v>SLFDST</v>
      </c>
      <c r="AA21" t="str">
        <f t="shared" si="17"/>
        <v/>
      </c>
      <c r="AB21" t="str">
        <f t="shared" si="18"/>
        <v>SLFDST</v>
      </c>
      <c r="AC21" t="str">
        <f t="shared" si="19"/>
        <v/>
      </c>
      <c r="AE21" t="s">
        <v>437</v>
      </c>
      <c r="AF21" t="str">
        <f t="shared" si="20"/>
        <v>TNFZIP</v>
      </c>
      <c r="AG21" t="str">
        <f t="shared" si="21"/>
        <v/>
      </c>
      <c r="AH21" t="str">
        <f t="shared" si="22"/>
        <v>TNFZIP</v>
      </c>
      <c r="AI21" t="str">
        <f t="shared" si="23"/>
        <v/>
      </c>
    </row>
    <row r="22" spans="1:35">
      <c r="A22" t="s">
        <v>475</v>
      </c>
      <c r="B22" t="str">
        <f t="shared" si="0"/>
        <v>SLFDSA</v>
      </c>
      <c r="C22" t="str">
        <f t="shared" si="1"/>
        <v>000000000</v>
      </c>
      <c r="D22" t="str">
        <f t="shared" si="2"/>
        <v>SLFDSA</v>
      </c>
      <c r="E22" t="str">
        <f t="shared" si="3"/>
        <v>000000000</v>
      </c>
      <c r="G22" t="s">
        <v>475</v>
      </c>
      <c r="H22" t="str">
        <f t="shared" si="4"/>
        <v>SLFDSA</v>
      </c>
      <c r="I22" t="str">
        <f t="shared" si="5"/>
        <v>000000000</v>
      </c>
      <c r="J22" t="str">
        <f t="shared" si="6"/>
        <v>SLFDSA</v>
      </c>
      <c r="K22" t="str">
        <f t="shared" si="7"/>
        <v>000000000</v>
      </c>
      <c r="M22" t="s">
        <v>475</v>
      </c>
      <c r="N22" t="str">
        <f t="shared" si="8"/>
        <v>SLFDSA</v>
      </c>
      <c r="O22" t="str">
        <f t="shared" si="9"/>
        <v>000000000</v>
      </c>
      <c r="P22" t="str">
        <f t="shared" si="10"/>
        <v>SLFDSA</v>
      </c>
      <c r="Q22" t="str">
        <f t="shared" si="11"/>
        <v>000000000</v>
      </c>
      <c r="S22" t="s">
        <v>475</v>
      </c>
      <c r="T22" t="str">
        <f t="shared" si="12"/>
        <v>SLFDSA</v>
      </c>
      <c r="U22" t="str">
        <f t="shared" si="13"/>
        <v>000000000</v>
      </c>
      <c r="V22" t="str">
        <f t="shared" si="14"/>
        <v>SLFDSA</v>
      </c>
      <c r="W22" t="str">
        <f t="shared" si="15"/>
        <v>000000000</v>
      </c>
      <c r="Y22" t="s">
        <v>475</v>
      </c>
      <c r="Z22" t="str">
        <f t="shared" si="16"/>
        <v>SLFDSA</v>
      </c>
      <c r="AA22" t="str">
        <f t="shared" si="17"/>
        <v>000000000</v>
      </c>
      <c r="AB22" t="str">
        <f t="shared" si="18"/>
        <v>SLFDSA</v>
      </c>
      <c r="AC22" t="str">
        <f t="shared" si="19"/>
        <v>000000000</v>
      </c>
      <c r="AE22" t="s">
        <v>563</v>
      </c>
      <c r="AF22" t="str">
        <f t="shared" si="20"/>
        <v>TNFMSR</v>
      </c>
      <c r="AG22" t="str">
        <f t="shared" si="21"/>
        <v/>
      </c>
      <c r="AH22" t="str">
        <f t="shared" si="22"/>
        <v>TNFMSR</v>
      </c>
      <c r="AI22" t="str">
        <f t="shared" si="23"/>
        <v/>
      </c>
    </row>
    <row r="23" spans="1:35">
      <c r="A23" t="s">
        <v>476</v>
      </c>
      <c r="B23" t="str">
        <f t="shared" si="0"/>
        <v>SLFDSN</v>
      </c>
      <c r="C23" t="str">
        <f t="shared" si="1"/>
        <v/>
      </c>
      <c r="D23" t="str">
        <f t="shared" si="2"/>
        <v>SLFDSN</v>
      </c>
      <c r="E23" t="str">
        <f t="shared" si="3"/>
        <v/>
      </c>
      <c r="G23" t="s">
        <v>476</v>
      </c>
      <c r="H23" t="str">
        <f t="shared" si="4"/>
        <v>SLFDSN</v>
      </c>
      <c r="I23" t="str">
        <f t="shared" si="5"/>
        <v/>
      </c>
      <c r="J23" t="str">
        <f t="shared" si="6"/>
        <v>SLFDSN</v>
      </c>
      <c r="K23" t="str">
        <f t="shared" si="7"/>
        <v/>
      </c>
      <c r="M23" t="s">
        <v>476</v>
      </c>
      <c r="N23" t="str">
        <f t="shared" si="8"/>
        <v>SLFDSN</v>
      </c>
      <c r="O23" t="str">
        <f t="shared" si="9"/>
        <v/>
      </c>
      <c r="P23" t="str">
        <f t="shared" si="10"/>
        <v>SLFDSN</v>
      </c>
      <c r="Q23" t="str">
        <f t="shared" si="11"/>
        <v/>
      </c>
      <c r="S23" t="s">
        <v>476</v>
      </c>
      <c r="T23" t="str">
        <f t="shared" si="12"/>
        <v>SLFDSN</v>
      </c>
      <c r="U23" t="str">
        <f t="shared" si="13"/>
        <v/>
      </c>
      <c r="V23" t="str">
        <f t="shared" si="14"/>
        <v>SLFDSN</v>
      </c>
      <c r="W23" t="str">
        <f t="shared" si="15"/>
        <v/>
      </c>
      <c r="Y23" t="s">
        <v>476</v>
      </c>
      <c r="Z23" t="str">
        <f t="shared" si="16"/>
        <v>SLFDSN</v>
      </c>
      <c r="AA23" t="str">
        <f t="shared" si="17"/>
        <v/>
      </c>
      <c r="AB23" t="str">
        <f t="shared" si="18"/>
        <v>SLFDSN</v>
      </c>
      <c r="AC23" t="str">
        <f t="shared" si="19"/>
        <v/>
      </c>
      <c r="AE23" t="s">
        <v>439</v>
      </c>
      <c r="AF23" t="str">
        <f t="shared" si="20"/>
        <v>TNFEML</v>
      </c>
      <c r="AG23" t="str">
        <f t="shared" si="21"/>
        <v/>
      </c>
      <c r="AH23" t="str">
        <f t="shared" si="22"/>
        <v>TNFEML</v>
      </c>
      <c r="AI23" t="str">
        <f t="shared" si="23"/>
        <v/>
      </c>
    </row>
    <row r="24" spans="1:35">
      <c r="A24" t="s">
        <v>564</v>
      </c>
      <c r="B24" t="str">
        <f t="shared" si="0"/>
        <v>SLFSEL</v>
      </c>
      <c r="C24" t="str">
        <f t="shared" si="1"/>
        <v>000000659</v>
      </c>
      <c r="D24" t="str">
        <f t="shared" si="2"/>
        <v>SLFSEL</v>
      </c>
      <c r="E24" t="str">
        <f t="shared" si="3"/>
        <v>000000659</v>
      </c>
      <c r="G24" t="s">
        <v>477</v>
      </c>
      <c r="H24" t="str">
        <f t="shared" si="4"/>
        <v>SLFSEL</v>
      </c>
      <c r="I24" t="str">
        <f t="shared" si="5"/>
        <v>000001129</v>
      </c>
      <c r="J24" t="str">
        <f t="shared" si="6"/>
        <v>SLFSEL</v>
      </c>
      <c r="K24" t="str">
        <f t="shared" si="7"/>
        <v>000001129</v>
      </c>
      <c r="M24" t="s">
        <v>565</v>
      </c>
      <c r="N24" t="str">
        <f t="shared" si="8"/>
        <v>SLFSEL</v>
      </c>
      <c r="O24" t="str">
        <f t="shared" si="9"/>
        <v>000000399</v>
      </c>
      <c r="P24" t="str">
        <f t="shared" si="10"/>
        <v>SLFSEL</v>
      </c>
      <c r="Q24" t="str">
        <f t="shared" si="11"/>
        <v>000000399</v>
      </c>
      <c r="S24" t="s">
        <v>566</v>
      </c>
      <c r="T24" t="str">
        <f t="shared" si="12"/>
        <v>SLFSEL</v>
      </c>
      <c r="U24" t="str">
        <f t="shared" si="13"/>
        <v>000000389</v>
      </c>
      <c r="V24" t="str">
        <f t="shared" si="14"/>
        <v>SLFSEL</v>
      </c>
      <c r="W24" t="str">
        <f t="shared" si="15"/>
        <v>000000389</v>
      </c>
      <c r="Y24" t="s">
        <v>567</v>
      </c>
      <c r="Z24" t="str">
        <f t="shared" si="16"/>
        <v>SLFSEL</v>
      </c>
      <c r="AA24" t="str">
        <f t="shared" si="17"/>
        <v>000000336</v>
      </c>
      <c r="AB24" t="str">
        <f t="shared" si="18"/>
        <v>SLFSEL</v>
      </c>
      <c r="AC24" t="str">
        <f t="shared" si="19"/>
        <v>000000336</v>
      </c>
      <c r="AE24" t="s">
        <v>440</v>
      </c>
      <c r="AF24" t="str">
        <f t="shared" si="20"/>
        <v>TNFHSH</v>
      </c>
      <c r="AG24" t="str">
        <f t="shared" si="21"/>
        <v/>
      </c>
      <c r="AH24" t="str">
        <f t="shared" si="22"/>
        <v>TNFHSH</v>
      </c>
      <c r="AI24" t="str">
        <f t="shared" si="23"/>
        <v/>
      </c>
    </row>
    <row r="25" spans="1:35">
      <c r="A25" t="s">
        <v>479</v>
      </c>
      <c r="B25" t="str">
        <f t="shared" si="0"/>
        <v>SLFSLN</v>
      </c>
      <c r="C25" t="str">
        <f t="shared" si="1"/>
        <v/>
      </c>
      <c r="D25" t="str">
        <f t="shared" si="2"/>
        <v>SLFSLN</v>
      </c>
      <c r="E25" t="str">
        <f t="shared" si="3"/>
        <v/>
      </c>
      <c r="G25" t="s">
        <v>479</v>
      </c>
      <c r="H25" t="str">
        <f t="shared" si="4"/>
        <v>SLFSLN</v>
      </c>
      <c r="I25" t="str">
        <f t="shared" si="5"/>
        <v/>
      </c>
      <c r="J25" t="str">
        <f t="shared" si="6"/>
        <v>SLFSLN</v>
      </c>
      <c r="K25" t="str">
        <f t="shared" si="7"/>
        <v/>
      </c>
      <c r="M25" t="s">
        <v>479</v>
      </c>
      <c r="N25" t="str">
        <f t="shared" si="8"/>
        <v>SLFSLN</v>
      </c>
      <c r="O25" t="str">
        <f t="shared" si="9"/>
        <v/>
      </c>
      <c r="P25" t="str">
        <f t="shared" si="10"/>
        <v>SLFSLN</v>
      </c>
      <c r="Q25" t="str">
        <f t="shared" si="11"/>
        <v/>
      </c>
      <c r="S25" t="s">
        <v>479</v>
      </c>
      <c r="T25" t="str">
        <f t="shared" si="12"/>
        <v>SLFSLN</v>
      </c>
      <c r="U25" t="str">
        <f t="shared" si="13"/>
        <v/>
      </c>
      <c r="V25" t="str">
        <f t="shared" si="14"/>
        <v>SLFSLN</v>
      </c>
      <c r="W25" t="str">
        <f t="shared" si="15"/>
        <v/>
      </c>
      <c r="Y25" t="s">
        <v>479</v>
      </c>
      <c r="Z25" t="str">
        <f t="shared" si="16"/>
        <v>SLFSLN</v>
      </c>
      <c r="AA25" t="str">
        <f t="shared" si="17"/>
        <v/>
      </c>
      <c r="AB25" t="str">
        <f t="shared" si="18"/>
        <v>SLFSLN</v>
      </c>
      <c r="AC25" t="str">
        <f t="shared" si="19"/>
        <v/>
      </c>
      <c r="AE25" t="s">
        <v>441</v>
      </c>
      <c r="AF25" t="str">
        <f t="shared" si="20"/>
        <v>TNFPLC</v>
      </c>
      <c r="AG25" t="str">
        <f t="shared" si="21"/>
        <v>55010</v>
      </c>
      <c r="AH25" t="str">
        <f t="shared" si="22"/>
        <v>TNFPLC</v>
      </c>
      <c r="AI25" t="str">
        <f t="shared" si="23"/>
        <v>55010</v>
      </c>
    </row>
    <row r="26" spans="1:35">
      <c r="A26" t="s">
        <v>568</v>
      </c>
      <c r="B26" t="str">
        <f t="shared" si="0"/>
        <v>SLFEXT</v>
      </c>
      <c r="C26" t="str">
        <f t="shared" si="1"/>
        <v>00000000659</v>
      </c>
      <c r="D26" t="str">
        <f t="shared" si="2"/>
        <v>SLFEXT</v>
      </c>
      <c r="E26" t="str">
        <f t="shared" si="3"/>
        <v>00000000659</v>
      </c>
      <c r="G26" t="s">
        <v>480</v>
      </c>
      <c r="H26" t="str">
        <f t="shared" si="4"/>
        <v>SLFEXT</v>
      </c>
      <c r="I26" t="str">
        <f t="shared" si="5"/>
        <v>00000001129</v>
      </c>
      <c r="J26" t="str">
        <f t="shared" si="6"/>
        <v>SLFEXT</v>
      </c>
      <c r="K26" t="str">
        <f t="shared" si="7"/>
        <v>00000001129</v>
      </c>
      <c r="M26" t="s">
        <v>569</v>
      </c>
      <c r="N26" t="str">
        <f t="shared" si="8"/>
        <v>SLFEXT</v>
      </c>
      <c r="O26" t="str">
        <f t="shared" si="9"/>
        <v>00000000399</v>
      </c>
      <c r="P26" t="str">
        <f t="shared" si="10"/>
        <v>SLFEXT</v>
      </c>
      <c r="Q26" t="str">
        <f t="shared" si="11"/>
        <v>00000000399</v>
      </c>
      <c r="S26" t="s">
        <v>570</v>
      </c>
      <c r="T26" t="str">
        <f t="shared" si="12"/>
        <v>SLFEXT</v>
      </c>
      <c r="U26" t="str">
        <f t="shared" si="13"/>
        <v>00000000389</v>
      </c>
      <c r="V26" t="str">
        <f t="shared" si="14"/>
        <v>SLFEXT</v>
      </c>
      <c r="W26" t="str">
        <f t="shared" si="15"/>
        <v>00000000389</v>
      </c>
      <c r="Y26" t="s">
        <v>571</v>
      </c>
      <c r="Z26" t="str">
        <f t="shared" si="16"/>
        <v>SLFEXT</v>
      </c>
      <c r="AA26" t="str">
        <f t="shared" si="17"/>
        <v>00000000336</v>
      </c>
      <c r="AB26" t="str">
        <f t="shared" si="18"/>
        <v>SLFEXT</v>
      </c>
      <c r="AC26" t="str">
        <f t="shared" si="19"/>
        <v>00000000336</v>
      </c>
      <c r="AE26" t="s">
        <v>442</v>
      </c>
      <c r="AF26" t="str">
        <f t="shared" si="20"/>
        <v>TNFPCN</v>
      </c>
      <c r="AG26" t="str">
        <f t="shared" si="21"/>
        <v>1</v>
      </c>
      <c r="AH26" t="str">
        <f t="shared" si="22"/>
        <v>TNFPCN</v>
      </c>
      <c r="AI26" t="str">
        <f t="shared" si="23"/>
        <v>1</v>
      </c>
    </row>
    <row r="27" spans="1:35">
      <c r="A27" t="s">
        <v>482</v>
      </c>
      <c r="B27" t="str">
        <f t="shared" si="0"/>
        <v>SLFEXN</v>
      </c>
      <c r="C27" t="str">
        <f t="shared" si="1"/>
        <v/>
      </c>
      <c r="D27" t="str">
        <f t="shared" si="2"/>
        <v>SLFEXN</v>
      </c>
      <c r="E27" t="str">
        <f t="shared" si="3"/>
        <v/>
      </c>
      <c r="G27" t="s">
        <v>482</v>
      </c>
      <c r="H27" t="str">
        <f t="shared" si="4"/>
        <v>SLFEXN</v>
      </c>
      <c r="I27" t="str">
        <f t="shared" si="5"/>
        <v/>
      </c>
      <c r="J27" t="str">
        <f t="shared" si="6"/>
        <v>SLFEXN</v>
      </c>
      <c r="K27" t="str">
        <f t="shared" si="7"/>
        <v/>
      </c>
      <c r="M27" t="s">
        <v>482</v>
      </c>
      <c r="N27" t="str">
        <f t="shared" si="8"/>
        <v>SLFEXN</v>
      </c>
      <c r="O27" t="str">
        <f t="shared" si="9"/>
        <v/>
      </c>
      <c r="P27" t="str">
        <f t="shared" si="10"/>
        <v>SLFEXN</v>
      </c>
      <c r="Q27" t="str">
        <f t="shared" si="11"/>
        <v/>
      </c>
      <c r="S27" t="s">
        <v>482</v>
      </c>
      <c r="T27" t="str">
        <f t="shared" si="12"/>
        <v>SLFEXN</v>
      </c>
      <c r="U27" t="str">
        <f t="shared" si="13"/>
        <v/>
      </c>
      <c r="V27" t="str">
        <f t="shared" si="14"/>
        <v>SLFEXN</v>
      </c>
      <c r="W27" t="str">
        <f t="shared" si="15"/>
        <v/>
      </c>
      <c r="Y27" t="s">
        <v>482</v>
      </c>
      <c r="Z27" t="str">
        <f t="shared" si="16"/>
        <v>SLFEXN</v>
      </c>
      <c r="AA27" t="str">
        <f t="shared" si="17"/>
        <v/>
      </c>
      <c r="AB27" t="str">
        <f t="shared" si="18"/>
        <v>SLFEXN</v>
      </c>
      <c r="AC27" t="str">
        <f t="shared" si="19"/>
        <v/>
      </c>
      <c r="AE27" t="s">
        <v>572</v>
      </c>
      <c r="AF27" t="str">
        <f t="shared" si="20"/>
        <v>TNFPDT</v>
      </c>
      <c r="AG27" t="str">
        <f t="shared" si="21"/>
        <v>260126</v>
      </c>
      <c r="AH27" t="str">
        <f t="shared" si="22"/>
        <v>TNFPDT</v>
      </c>
      <c r="AI27" t="str">
        <f t="shared" si="23"/>
        <v>260126</v>
      </c>
    </row>
    <row r="28" spans="1:35">
      <c r="A28" t="s">
        <v>483</v>
      </c>
      <c r="B28" t="str">
        <f t="shared" si="0"/>
        <v>SLFTX1</v>
      </c>
      <c r="C28" t="str">
        <f t="shared" si="1"/>
        <v>N</v>
      </c>
      <c r="D28" t="str">
        <f t="shared" si="2"/>
        <v>SLFTX1</v>
      </c>
      <c r="E28" t="str">
        <f t="shared" si="3"/>
        <v>N</v>
      </c>
      <c r="G28" t="s">
        <v>483</v>
      </c>
      <c r="H28" t="str">
        <f t="shared" si="4"/>
        <v>SLFTX1</v>
      </c>
      <c r="I28" t="str">
        <f t="shared" si="5"/>
        <v>N</v>
      </c>
      <c r="J28" t="str">
        <f t="shared" si="6"/>
        <v>SLFTX1</v>
      </c>
      <c r="K28" t="str">
        <f t="shared" si="7"/>
        <v>N</v>
      </c>
      <c r="M28" t="s">
        <v>483</v>
      </c>
      <c r="N28" t="str">
        <f t="shared" si="8"/>
        <v>SLFTX1</v>
      </c>
      <c r="O28" t="str">
        <f t="shared" si="9"/>
        <v>N</v>
      </c>
      <c r="P28" t="str">
        <f t="shared" si="10"/>
        <v>SLFTX1</v>
      </c>
      <c r="Q28" t="str">
        <f t="shared" si="11"/>
        <v>N</v>
      </c>
      <c r="S28" t="s">
        <v>483</v>
      </c>
      <c r="T28" t="str">
        <f t="shared" si="12"/>
        <v>SLFTX1</v>
      </c>
      <c r="U28" t="str">
        <f t="shared" si="13"/>
        <v>N</v>
      </c>
      <c r="V28" t="str">
        <f t="shared" si="14"/>
        <v>SLFTX1</v>
      </c>
      <c r="W28" t="str">
        <f t="shared" si="15"/>
        <v>N</v>
      </c>
      <c r="Y28" t="s">
        <v>483</v>
      </c>
      <c r="Z28" t="str">
        <f t="shared" si="16"/>
        <v>SLFTX1</v>
      </c>
      <c r="AA28" t="str">
        <f t="shared" si="17"/>
        <v>N</v>
      </c>
      <c r="AB28" t="str">
        <f t="shared" si="18"/>
        <v>SLFTX1</v>
      </c>
      <c r="AC28" t="str">
        <f t="shared" si="19"/>
        <v>N</v>
      </c>
      <c r="AE28" t="s">
        <v>444</v>
      </c>
      <c r="AF28" t="str">
        <f t="shared" si="20"/>
        <v>TNFCCN</v>
      </c>
      <c r="AG28" t="str">
        <f t="shared" si="21"/>
        <v>1</v>
      </c>
      <c r="AH28" t="str">
        <f t="shared" si="22"/>
        <v>TNFCCN</v>
      </c>
      <c r="AI28" t="str">
        <f t="shared" si="23"/>
        <v>1</v>
      </c>
    </row>
    <row r="29" spans="1:35">
      <c r="A29" t="s">
        <v>484</v>
      </c>
      <c r="B29" t="str">
        <f t="shared" si="0"/>
        <v>SLFTX2</v>
      </c>
      <c r="C29" t="str">
        <f t="shared" si="1"/>
        <v>N</v>
      </c>
      <c r="D29" t="str">
        <f t="shared" si="2"/>
        <v>SLFTX2</v>
      </c>
      <c r="E29" t="str">
        <f t="shared" si="3"/>
        <v>N</v>
      </c>
      <c r="G29" t="s">
        <v>484</v>
      </c>
      <c r="H29" t="str">
        <f t="shared" si="4"/>
        <v>SLFTX2</v>
      </c>
      <c r="I29" t="str">
        <f t="shared" si="5"/>
        <v>N</v>
      </c>
      <c r="J29" t="str">
        <f t="shared" si="6"/>
        <v>SLFTX2</v>
      </c>
      <c r="K29" t="str">
        <f t="shared" si="7"/>
        <v>N</v>
      </c>
      <c r="M29" t="s">
        <v>484</v>
      </c>
      <c r="N29" t="str">
        <f t="shared" si="8"/>
        <v>SLFTX2</v>
      </c>
      <c r="O29" t="str">
        <f t="shared" si="9"/>
        <v>N</v>
      </c>
      <c r="P29" t="str">
        <f t="shared" si="10"/>
        <v>SLFTX2</v>
      </c>
      <c r="Q29" t="str">
        <f t="shared" si="11"/>
        <v>N</v>
      </c>
      <c r="S29" t="s">
        <v>484</v>
      </c>
      <c r="T29" t="str">
        <f t="shared" si="12"/>
        <v>SLFTX2</v>
      </c>
      <c r="U29" t="str">
        <f t="shared" si="13"/>
        <v>N</v>
      </c>
      <c r="V29" t="str">
        <f t="shared" si="14"/>
        <v>SLFTX2</v>
      </c>
      <c r="W29" t="str">
        <f t="shared" si="15"/>
        <v>N</v>
      </c>
      <c r="Y29" t="s">
        <v>484</v>
      </c>
      <c r="Z29" t="str">
        <f t="shared" si="16"/>
        <v>SLFTX2</v>
      </c>
      <c r="AA29" t="str">
        <f t="shared" si="17"/>
        <v>N</v>
      </c>
      <c r="AB29" t="str">
        <f t="shared" si="18"/>
        <v>SLFTX2</v>
      </c>
      <c r="AC29" t="str">
        <f t="shared" si="19"/>
        <v>N</v>
      </c>
      <c r="AE29" t="s">
        <v>573</v>
      </c>
      <c r="AF29" t="str">
        <f t="shared" si="20"/>
        <v>TNFCDT</v>
      </c>
      <c r="AG29" t="str">
        <f t="shared" si="21"/>
        <v>260126</v>
      </c>
      <c r="AH29" t="str">
        <f t="shared" si="22"/>
        <v>TNFCDT</v>
      </c>
      <c r="AI29" t="str">
        <f t="shared" si="23"/>
        <v>260126</v>
      </c>
    </row>
    <row r="30" spans="1:35">
      <c r="A30" t="s">
        <v>485</v>
      </c>
      <c r="B30" t="str">
        <f t="shared" si="0"/>
        <v>SLFTX3</v>
      </c>
      <c r="C30" t="str">
        <f t="shared" si="1"/>
        <v>Y</v>
      </c>
      <c r="D30" t="str">
        <f t="shared" si="2"/>
        <v>SLFTX3</v>
      </c>
      <c r="E30" t="str">
        <f t="shared" si="3"/>
        <v>Y</v>
      </c>
      <c r="G30" t="s">
        <v>485</v>
      </c>
      <c r="H30" t="str">
        <f t="shared" si="4"/>
        <v>SLFTX3</v>
      </c>
      <c r="I30" t="str">
        <f t="shared" si="5"/>
        <v>Y</v>
      </c>
      <c r="J30" t="str">
        <f t="shared" si="6"/>
        <v>SLFTX3</v>
      </c>
      <c r="K30" t="str">
        <f t="shared" si="7"/>
        <v>Y</v>
      </c>
      <c r="M30" t="s">
        <v>485</v>
      </c>
      <c r="N30" t="str">
        <f t="shared" si="8"/>
        <v>SLFTX3</v>
      </c>
      <c r="O30" t="str">
        <f t="shared" si="9"/>
        <v>Y</v>
      </c>
      <c r="P30" t="str">
        <f t="shared" si="10"/>
        <v>SLFTX3</v>
      </c>
      <c r="Q30" t="str">
        <f t="shared" si="11"/>
        <v>Y</v>
      </c>
      <c r="S30" t="s">
        <v>485</v>
      </c>
      <c r="T30" t="str">
        <f t="shared" si="12"/>
        <v>SLFTX3</v>
      </c>
      <c r="U30" t="str">
        <f t="shared" si="13"/>
        <v>Y</v>
      </c>
      <c r="V30" t="str">
        <f t="shared" si="14"/>
        <v>SLFTX3</v>
      </c>
      <c r="W30" t="str">
        <f t="shared" si="15"/>
        <v>Y</v>
      </c>
      <c r="Y30" t="s">
        <v>574</v>
      </c>
      <c r="Z30" t="str">
        <f t="shared" si="16"/>
        <v>SLFTX3</v>
      </c>
      <c r="AA30" t="str">
        <f t="shared" si="17"/>
        <v>N</v>
      </c>
      <c r="AB30" t="str">
        <f t="shared" si="18"/>
        <v>SLFTX3</v>
      </c>
      <c r="AC30" t="str">
        <f t="shared" si="19"/>
        <v>N</v>
      </c>
      <c r="AE30" t="s">
        <v>575</v>
      </c>
      <c r="AF30" t="str">
        <f t="shared" si="20"/>
        <v>TNFCTM</v>
      </c>
      <c r="AG30" t="str">
        <f t="shared" si="21"/>
        <v>163959</v>
      </c>
      <c r="AH30" t="str">
        <f t="shared" si="22"/>
        <v>TNFCTM</v>
      </c>
      <c r="AI30" t="str">
        <f t="shared" si="23"/>
        <v>163959</v>
      </c>
    </row>
    <row r="31" spans="1:35">
      <c r="A31" t="s">
        <v>486</v>
      </c>
      <c r="B31" t="str">
        <f t="shared" si="0"/>
        <v>SLFTX4</v>
      </c>
      <c r="C31" t="str">
        <f t="shared" si="1"/>
        <v>N</v>
      </c>
      <c r="D31" t="str">
        <f t="shared" si="2"/>
        <v>SLFTX4</v>
      </c>
      <c r="E31" t="str">
        <f t="shared" si="3"/>
        <v>N</v>
      </c>
      <c r="G31" t="s">
        <v>486</v>
      </c>
      <c r="H31" t="str">
        <f t="shared" si="4"/>
        <v>SLFTX4</v>
      </c>
      <c r="I31" t="str">
        <f t="shared" si="5"/>
        <v>N</v>
      </c>
      <c r="J31" t="str">
        <f t="shared" si="6"/>
        <v>SLFTX4</v>
      </c>
      <c r="K31" t="str">
        <f t="shared" si="7"/>
        <v>N</v>
      </c>
      <c r="M31" t="s">
        <v>486</v>
      </c>
      <c r="N31" t="str">
        <f t="shared" si="8"/>
        <v>SLFTX4</v>
      </c>
      <c r="O31" t="str">
        <f t="shared" si="9"/>
        <v>N</v>
      </c>
      <c r="P31" t="str">
        <f t="shared" si="10"/>
        <v>SLFTX4</v>
      </c>
      <c r="Q31" t="str">
        <f t="shared" si="11"/>
        <v>N</v>
      </c>
      <c r="S31" t="s">
        <v>486</v>
      </c>
      <c r="T31" t="str">
        <f t="shared" si="12"/>
        <v>SLFTX4</v>
      </c>
      <c r="U31" t="str">
        <f t="shared" si="13"/>
        <v>N</v>
      </c>
      <c r="V31" t="str">
        <f t="shared" si="14"/>
        <v>SLFTX4</v>
      </c>
      <c r="W31" t="str">
        <f t="shared" si="15"/>
        <v>N</v>
      </c>
      <c r="Y31" t="s">
        <v>486</v>
      </c>
      <c r="Z31" t="str">
        <f t="shared" si="16"/>
        <v>SLFTX4</v>
      </c>
      <c r="AA31" t="str">
        <f t="shared" si="17"/>
        <v>N</v>
      </c>
      <c r="AB31" t="str">
        <f t="shared" si="18"/>
        <v>SLFTX4</v>
      </c>
      <c r="AC31" t="str">
        <f t="shared" si="19"/>
        <v>N</v>
      </c>
      <c r="AE31" t="s">
        <v>447</v>
      </c>
      <c r="AF31" t="str">
        <f t="shared" si="20"/>
        <v>ATFSST</v>
      </c>
      <c r="AG31" t="str">
        <f t="shared" si="21"/>
        <v>0</v>
      </c>
      <c r="AH31" t="str">
        <f t="shared" si="22"/>
        <v>ATFSST</v>
      </c>
      <c r="AI31" t="str">
        <f t="shared" si="23"/>
        <v>0</v>
      </c>
    </row>
    <row r="32" spans="1:35">
      <c r="A32" t="s">
        <v>487</v>
      </c>
      <c r="B32" t="str">
        <f t="shared" si="0"/>
        <v>SLFRFC</v>
      </c>
      <c r="C32" t="str">
        <f t="shared" si="1"/>
        <v/>
      </c>
      <c r="D32" t="str">
        <f t="shared" si="2"/>
        <v>SLFRFC</v>
      </c>
      <c r="E32" t="str">
        <f t="shared" si="3"/>
        <v/>
      </c>
      <c r="G32" t="s">
        <v>487</v>
      </c>
      <c r="H32" t="str">
        <f t="shared" si="4"/>
        <v>SLFRFC</v>
      </c>
      <c r="I32" t="str">
        <f t="shared" si="5"/>
        <v/>
      </c>
      <c r="J32" t="str">
        <f t="shared" si="6"/>
        <v>SLFRFC</v>
      </c>
      <c r="K32" t="str">
        <f t="shared" si="7"/>
        <v/>
      </c>
      <c r="M32" t="s">
        <v>487</v>
      </c>
      <c r="N32" t="str">
        <f t="shared" si="8"/>
        <v>SLFRFC</v>
      </c>
      <c r="O32" t="str">
        <f t="shared" si="9"/>
        <v/>
      </c>
      <c r="P32" t="str">
        <f t="shared" si="10"/>
        <v>SLFRFC</v>
      </c>
      <c r="Q32" t="str">
        <f t="shared" si="11"/>
        <v/>
      </c>
      <c r="S32" t="s">
        <v>487</v>
      </c>
      <c r="T32" t="str">
        <f t="shared" si="12"/>
        <v>SLFRFC</v>
      </c>
      <c r="U32" t="str">
        <f t="shared" si="13"/>
        <v/>
      </c>
      <c r="V32" t="str">
        <f t="shared" si="14"/>
        <v>SLFRFC</v>
      </c>
      <c r="W32" t="str">
        <f t="shared" si="15"/>
        <v/>
      </c>
      <c r="Y32" t="s">
        <v>487</v>
      </c>
      <c r="Z32" t="str">
        <f t="shared" si="16"/>
        <v>SLFRFC</v>
      </c>
      <c r="AA32" t="str">
        <f t="shared" si="17"/>
        <v/>
      </c>
      <c r="AB32" t="str">
        <f t="shared" si="18"/>
        <v>SLFRFC</v>
      </c>
      <c r="AC32" t="str">
        <f t="shared" si="19"/>
        <v/>
      </c>
      <c r="AE32" t="s">
        <v>448</v>
      </c>
      <c r="AF32" t="str">
        <f t="shared" si="20"/>
        <v>ATFIST</v>
      </c>
      <c r="AG32" t="str">
        <f t="shared" si="21"/>
        <v>0</v>
      </c>
      <c r="AH32" t="str">
        <f t="shared" si="22"/>
        <v>ATFIST</v>
      </c>
      <c r="AI32" t="str">
        <f t="shared" si="23"/>
        <v>0</v>
      </c>
    </row>
    <row r="33" spans="1:35">
      <c r="A33" t="s">
        <v>488</v>
      </c>
      <c r="B33" t="str">
        <f t="shared" si="0"/>
        <v>SLFRFD</v>
      </c>
      <c r="C33" t="str">
        <f t="shared" si="1"/>
        <v/>
      </c>
      <c r="D33" t="str">
        <f t="shared" si="2"/>
        <v>SLFRFD</v>
      </c>
      <c r="E33" t="str">
        <f t="shared" si="3"/>
        <v/>
      </c>
      <c r="G33" t="s">
        <v>488</v>
      </c>
      <c r="H33" t="str">
        <f t="shared" si="4"/>
        <v>SLFRFD</v>
      </c>
      <c r="I33" t="str">
        <f t="shared" si="5"/>
        <v/>
      </c>
      <c r="J33" t="str">
        <f t="shared" si="6"/>
        <v>SLFRFD</v>
      </c>
      <c r="K33" t="str">
        <f t="shared" si="7"/>
        <v/>
      </c>
      <c r="M33" t="s">
        <v>488</v>
      </c>
      <c r="N33" t="str">
        <f t="shared" si="8"/>
        <v>SLFRFD</v>
      </c>
      <c r="O33" t="str">
        <f t="shared" si="9"/>
        <v/>
      </c>
      <c r="P33" t="str">
        <f t="shared" si="10"/>
        <v>SLFRFD</v>
      </c>
      <c r="Q33" t="str">
        <f t="shared" si="11"/>
        <v/>
      </c>
      <c r="S33" t="s">
        <v>488</v>
      </c>
      <c r="T33" t="str">
        <f t="shared" si="12"/>
        <v>SLFRFD</v>
      </c>
      <c r="U33" t="str">
        <f t="shared" si="13"/>
        <v/>
      </c>
      <c r="V33" t="str">
        <f t="shared" si="14"/>
        <v>SLFRFD</v>
      </c>
      <c r="W33" t="str">
        <f t="shared" si="15"/>
        <v/>
      </c>
      <c r="Y33" t="s">
        <v>488</v>
      </c>
      <c r="Z33" t="str">
        <f t="shared" si="16"/>
        <v>SLFRFD</v>
      </c>
      <c r="AA33" t="str">
        <f t="shared" si="17"/>
        <v/>
      </c>
      <c r="AB33" t="str">
        <f t="shared" si="18"/>
        <v>SLFRFD</v>
      </c>
      <c r="AC33" t="str">
        <f t="shared" si="19"/>
        <v/>
      </c>
      <c r="AE33" t="s">
        <v>449</v>
      </c>
      <c r="AF33" t="str">
        <f t="shared" si="20"/>
        <v>ATFOTX</v>
      </c>
      <c r="AG33" t="str">
        <f t="shared" si="21"/>
        <v/>
      </c>
      <c r="AH33" t="str">
        <f t="shared" si="22"/>
        <v>ATFOTX</v>
      </c>
      <c r="AI33" t="str">
        <f t="shared" si="23"/>
        <v/>
      </c>
    </row>
    <row r="34" spans="1:35">
      <c r="A34" t="s">
        <v>489</v>
      </c>
      <c r="B34" t="str">
        <f t="shared" si="0"/>
        <v>SLFUPC</v>
      </c>
      <c r="C34" t="str">
        <f t="shared" si="1"/>
        <v>0000000000000</v>
      </c>
      <c r="D34" t="str">
        <f t="shared" si="2"/>
        <v>SLFUPC</v>
      </c>
      <c r="E34" t="str">
        <f t="shared" si="3"/>
        <v>0000000000000</v>
      </c>
      <c r="G34" t="s">
        <v>489</v>
      </c>
      <c r="H34" t="str">
        <f t="shared" si="4"/>
        <v>SLFUPC</v>
      </c>
      <c r="I34" t="str">
        <f t="shared" si="5"/>
        <v>0000000000000</v>
      </c>
      <c r="J34" t="str">
        <f t="shared" si="6"/>
        <v>SLFUPC</v>
      </c>
      <c r="K34" t="str">
        <f t="shared" si="7"/>
        <v>0000000000000</v>
      </c>
      <c r="M34" t="s">
        <v>489</v>
      </c>
      <c r="N34" t="str">
        <f t="shared" si="8"/>
        <v>SLFUPC</v>
      </c>
      <c r="O34" t="str">
        <f t="shared" si="9"/>
        <v>0000000000000</v>
      </c>
      <c r="P34" t="str">
        <f t="shared" si="10"/>
        <v>SLFUPC</v>
      </c>
      <c r="Q34" t="str">
        <f t="shared" si="11"/>
        <v>0000000000000</v>
      </c>
      <c r="S34" t="s">
        <v>489</v>
      </c>
      <c r="T34" t="str">
        <f t="shared" si="12"/>
        <v>SLFUPC</v>
      </c>
      <c r="U34" t="str">
        <f t="shared" si="13"/>
        <v>0000000000000</v>
      </c>
      <c r="V34" t="str">
        <f t="shared" si="14"/>
        <v>SLFUPC</v>
      </c>
      <c r="W34" t="str">
        <f t="shared" si="15"/>
        <v>0000000000000</v>
      </c>
      <c r="Y34" t="s">
        <v>489</v>
      </c>
      <c r="Z34" t="str">
        <f t="shared" si="16"/>
        <v>SLFUPC</v>
      </c>
      <c r="AA34" t="str">
        <f t="shared" si="17"/>
        <v>0000000000000</v>
      </c>
      <c r="AB34" t="str">
        <f t="shared" si="18"/>
        <v>SLFUPC</v>
      </c>
      <c r="AC34" t="str">
        <f t="shared" si="19"/>
        <v>0000000000000</v>
      </c>
      <c r="AE34" t="s">
        <v>450</v>
      </c>
      <c r="AF34" t="str">
        <f t="shared" si="20"/>
        <v>ATFMBT</v>
      </c>
      <c r="AG34" t="str">
        <f t="shared" si="21"/>
        <v/>
      </c>
      <c r="AH34" t="str">
        <f t="shared" si="22"/>
        <v>ATFMBT</v>
      </c>
      <c r="AI34" t="str">
        <f t="shared" si="23"/>
        <v/>
      </c>
    </row>
    <row r="35" spans="1:35">
      <c r="A35" t="s">
        <v>576</v>
      </c>
      <c r="B35" t="str">
        <f t="shared" si="0"/>
        <v>SLFSPS</v>
      </c>
      <c r="C35" t="str">
        <f t="shared" si="1"/>
        <v>60065</v>
      </c>
      <c r="D35" t="str">
        <f t="shared" si="2"/>
        <v>SLFSPS</v>
      </c>
      <c r="E35" t="str">
        <f t="shared" si="3"/>
        <v>60065</v>
      </c>
      <c r="G35" t="s">
        <v>576</v>
      </c>
      <c r="H35" t="str">
        <f t="shared" si="4"/>
        <v>SLFSPS</v>
      </c>
      <c r="I35" t="str">
        <f t="shared" si="5"/>
        <v>60065</v>
      </c>
      <c r="J35" t="str">
        <f t="shared" si="6"/>
        <v>SLFSPS</v>
      </c>
      <c r="K35" t="str">
        <f t="shared" si="7"/>
        <v>60065</v>
      </c>
      <c r="M35" t="s">
        <v>576</v>
      </c>
      <c r="N35" t="str">
        <f t="shared" si="8"/>
        <v>SLFSPS</v>
      </c>
      <c r="O35" t="str">
        <f t="shared" si="9"/>
        <v>60065</v>
      </c>
      <c r="P35" t="str">
        <f t="shared" si="10"/>
        <v>SLFSPS</v>
      </c>
      <c r="Q35" t="str">
        <f t="shared" si="11"/>
        <v>60065</v>
      </c>
      <c r="S35" t="s">
        <v>576</v>
      </c>
      <c r="T35" t="str">
        <f t="shared" si="12"/>
        <v>SLFSPS</v>
      </c>
      <c r="U35" t="str">
        <f t="shared" si="13"/>
        <v>60065</v>
      </c>
      <c r="V35" t="str">
        <f t="shared" si="14"/>
        <v>SLFSPS</v>
      </c>
      <c r="W35" t="str">
        <f t="shared" si="15"/>
        <v>60065</v>
      </c>
      <c r="Y35" t="s">
        <v>576</v>
      </c>
      <c r="Z35" t="str">
        <f t="shared" si="16"/>
        <v>SLFSPS</v>
      </c>
      <c r="AA35" t="str">
        <f t="shared" si="17"/>
        <v>60065</v>
      </c>
      <c r="AB35" t="str">
        <f t="shared" si="18"/>
        <v>SLFSPS</v>
      </c>
      <c r="AC35" t="str">
        <f t="shared" si="19"/>
        <v>60065</v>
      </c>
      <c r="AE35" t="s">
        <v>451</v>
      </c>
      <c r="AF35" t="str">
        <f t="shared" si="20"/>
        <v>ATFORD</v>
      </c>
      <c r="AG35" t="str">
        <f t="shared" si="21"/>
        <v/>
      </c>
      <c r="AH35" t="str">
        <f t="shared" si="22"/>
        <v>ATFORD</v>
      </c>
      <c r="AI35" t="str">
        <f t="shared" si="23"/>
        <v/>
      </c>
    </row>
    <row r="36" spans="1:35">
      <c r="A36" t="s">
        <v>491</v>
      </c>
      <c r="B36" t="str">
        <f t="shared" si="0"/>
        <v>SLFSTS</v>
      </c>
      <c r="C36" t="str">
        <f t="shared" si="1"/>
        <v/>
      </c>
      <c r="D36" t="str">
        <f t="shared" si="2"/>
        <v>SLFSTS</v>
      </c>
      <c r="E36" t="str">
        <f t="shared" si="3"/>
        <v/>
      </c>
      <c r="G36" t="s">
        <v>491</v>
      </c>
      <c r="H36" t="str">
        <f t="shared" si="4"/>
        <v>SLFSTS</v>
      </c>
      <c r="I36" t="str">
        <f t="shared" si="5"/>
        <v/>
      </c>
      <c r="J36" t="str">
        <f t="shared" si="6"/>
        <v>SLFSTS</v>
      </c>
      <c r="K36" t="str">
        <f t="shared" si="7"/>
        <v/>
      </c>
      <c r="M36" t="s">
        <v>491</v>
      </c>
      <c r="N36" t="str">
        <f t="shared" si="8"/>
        <v>SLFSTS</v>
      </c>
      <c r="O36" t="str">
        <f t="shared" si="9"/>
        <v/>
      </c>
      <c r="P36" t="str">
        <f t="shared" si="10"/>
        <v>SLFSTS</v>
      </c>
      <c r="Q36" t="str">
        <f t="shared" si="11"/>
        <v/>
      </c>
      <c r="S36" t="s">
        <v>491</v>
      </c>
      <c r="T36" t="str">
        <f t="shared" si="12"/>
        <v>SLFSTS</v>
      </c>
      <c r="U36" t="str">
        <f t="shared" si="13"/>
        <v/>
      </c>
      <c r="V36" t="str">
        <f t="shared" si="14"/>
        <v>SLFSTS</v>
      </c>
      <c r="W36" t="str">
        <f t="shared" si="15"/>
        <v/>
      </c>
      <c r="Y36" t="s">
        <v>491</v>
      </c>
      <c r="Z36" t="str">
        <f t="shared" si="16"/>
        <v>SLFSTS</v>
      </c>
      <c r="AA36" t="str">
        <f t="shared" si="17"/>
        <v/>
      </c>
      <c r="AB36" t="str">
        <f t="shared" si="18"/>
        <v>SLFSTS</v>
      </c>
      <c r="AC36" t="str">
        <f t="shared" si="19"/>
        <v/>
      </c>
      <c r="AE36" t="s">
        <v>452</v>
      </c>
      <c r="AF36" t="str">
        <f t="shared" si="20"/>
        <v>ATFPRO</v>
      </c>
      <c r="AG36" t="str">
        <f t="shared" si="21"/>
        <v/>
      </c>
      <c r="AH36" t="str">
        <f t="shared" si="22"/>
        <v>ATFPRO</v>
      </c>
      <c r="AI36" t="str">
        <f t="shared" si="23"/>
        <v/>
      </c>
    </row>
    <row r="37" spans="1:35">
      <c r="A37" t="s">
        <v>492</v>
      </c>
      <c r="B37" t="str">
        <f t="shared" si="0"/>
        <v>SLFZIP</v>
      </c>
      <c r="C37" t="str">
        <f t="shared" si="1"/>
        <v/>
      </c>
      <c r="D37" t="str">
        <f t="shared" si="2"/>
        <v>SLFZIP</v>
      </c>
      <c r="E37" t="str">
        <f t="shared" si="3"/>
        <v/>
      </c>
      <c r="G37" t="s">
        <v>492</v>
      </c>
      <c r="H37" t="str">
        <f t="shared" si="4"/>
        <v>SLFZIP</v>
      </c>
      <c r="I37" t="str">
        <f t="shared" si="5"/>
        <v/>
      </c>
      <c r="J37" t="str">
        <f t="shared" si="6"/>
        <v>SLFZIP</v>
      </c>
      <c r="K37" t="str">
        <f t="shared" si="7"/>
        <v/>
      </c>
      <c r="M37" t="s">
        <v>492</v>
      </c>
      <c r="N37" t="str">
        <f t="shared" si="8"/>
        <v>SLFZIP</v>
      </c>
      <c r="O37" t="str">
        <f t="shared" si="9"/>
        <v/>
      </c>
      <c r="P37" t="str">
        <f t="shared" si="10"/>
        <v>SLFZIP</v>
      </c>
      <c r="Q37" t="str">
        <f t="shared" si="11"/>
        <v/>
      </c>
      <c r="S37" t="s">
        <v>492</v>
      </c>
      <c r="T37" t="str">
        <f t="shared" si="12"/>
        <v>SLFZIP</v>
      </c>
      <c r="U37" t="str">
        <f t="shared" si="13"/>
        <v/>
      </c>
      <c r="V37" t="str">
        <f t="shared" si="14"/>
        <v>SLFZIP</v>
      </c>
      <c r="W37" t="str">
        <f t="shared" si="15"/>
        <v/>
      </c>
      <c r="Y37" t="s">
        <v>492</v>
      </c>
      <c r="Z37" t="str">
        <f t="shared" si="16"/>
        <v>SLFZIP</v>
      </c>
      <c r="AA37" t="str">
        <f t="shared" si="17"/>
        <v/>
      </c>
      <c r="AB37" t="str">
        <f t="shared" si="18"/>
        <v>SLFZIP</v>
      </c>
      <c r="AC37" t="str">
        <f t="shared" si="19"/>
        <v/>
      </c>
    </row>
    <row r="38" spans="1:35">
      <c r="A38" t="s">
        <v>493</v>
      </c>
      <c r="B38" t="str">
        <f t="shared" si="0"/>
        <v>SLFCNM</v>
      </c>
      <c r="C38" t="str">
        <f t="shared" si="1"/>
        <v/>
      </c>
      <c r="D38" t="str">
        <f t="shared" si="2"/>
        <v>SLFCNM</v>
      </c>
      <c r="E38" t="str">
        <f t="shared" si="3"/>
        <v/>
      </c>
      <c r="G38" t="s">
        <v>493</v>
      </c>
      <c r="H38" t="str">
        <f t="shared" si="4"/>
        <v>SLFCNM</v>
      </c>
      <c r="I38" t="str">
        <f t="shared" si="5"/>
        <v/>
      </c>
      <c r="J38" t="str">
        <f t="shared" si="6"/>
        <v>SLFCNM</v>
      </c>
      <c r="K38" t="str">
        <f t="shared" si="7"/>
        <v/>
      </c>
      <c r="M38" t="s">
        <v>493</v>
      </c>
      <c r="N38" t="str">
        <f t="shared" si="8"/>
        <v>SLFCNM</v>
      </c>
      <c r="O38" t="str">
        <f t="shared" si="9"/>
        <v/>
      </c>
      <c r="P38" t="str">
        <f t="shared" si="10"/>
        <v>SLFCNM</v>
      </c>
      <c r="Q38" t="str">
        <f t="shared" si="11"/>
        <v/>
      </c>
      <c r="S38" t="s">
        <v>493</v>
      </c>
      <c r="T38" t="str">
        <f t="shared" si="12"/>
        <v>SLFCNM</v>
      </c>
      <c r="U38" t="str">
        <f t="shared" si="13"/>
        <v/>
      </c>
      <c r="V38" t="str">
        <f t="shared" si="14"/>
        <v>SLFCNM</v>
      </c>
      <c r="W38" t="str">
        <f t="shared" si="15"/>
        <v/>
      </c>
      <c r="Y38" t="s">
        <v>493</v>
      </c>
      <c r="Z38" t="str">
        <f t="shared" si="16"/>
        <v>SLFCNM</v>
      </c>
      <c r="AA38" t="str">
        <f t="shared" si="17"/>
        <v/>
      </c>
      <c r="AB38" t="str">
        <f t="shared" si="18"/>
        <v>SLFCNM</v>
      </c>
      <c r="AC38" t="str">
        <f t="shared" si="19"/>
        <v/>
      </c>
    </row>
    <row r="39" spans="1:35">
      <c r="A39" t="s">
        <v>494</v>
      </c>
      <c r="B39" t="str">
        <f t="shared" si="0"/>
        <v>SLFNUM</v>
      </c>
      <c r="C39" t="str">
        <f t="shared" si="1"/>
        <v/>
      </c>
      <c r="D39" t="str">
        <f t="shared" si="2"/>
        <v>SLFNUM</v>
      </c>
      <c r="E39" t="str">
        <f t="shared" si="3"/>
        <v/>
      </c>
      <c r="G39" t="s">
        <v>494</v>
      </c>
      <c r="H39" t="str">
        <f t="shared" si="4"/>
        <v>SLFNUM</v>
      </c>
      <c r="I39" t="str">
        <f t="shared" si="5"/>
        <v/>
      </c>
      <c r="J39" t="str">
        <f t="shared" si="6"/>
        <v>SLFNUM</v>
      </c>
      <c r="K39" t="str">
        <f t="shared" si="7"/>
        <v/>
      </c>
      <c r="M39" t="s">
        <v>494</v>
      </c>
      <c r="N39" t="str">
        <f t="shared" si="8"/>
        <v>SLFNUM</v>
      </c>
      <c r="O39" t="str">
        <f t="shared" si="9"/>
        <v/>
      </c>
      <c r="P39" t="str">
        <f t="shared" si="10"/>
        <v>SLFNUM</v>
      </c>
      <c r="Q39" t="str">
        <f t="shared" si="11"/>
        <v/>
      </c>
      <c r="S39" t="s">
        <v>494</v>
      </c>
      <c r="T39" t="str">
        <f t="shared" si="12"/>
        <v>SLFNUM</v>
      </c>
      <c r="U39" t="str">
        <f t="shared" si="13"/>
        <v/>
      </c>
      <c r="V39" t="str">
        <f t="shared" si="14"/>
        <v>SLFNUM</v>
      </c>
      <c r="W39" t="str">
        <f t="shared" si="15"/>
        <v/>
      </c>
      <c r="Y39" t="s">
        <v>494</v>
      </c>
      <c r="Z39" t="str">
        <f t="shared" si="16"/>
        <v>SLFNUM</v>
      </c>
      <c r="AA39" t="str">
        <f t="shared" si="17"/>
        <v/>
      </c>
      <c r="AB39" t="str">
        <f t="shared" si="18"/>
        <v>SLFNUM</v>
      </c>
      <c r="AC39" t="str">
        <f t="shared" si="19"/>
        <v/>
      </c>
    </row>
    <row r="40" spans="1:35">
      <c r="A40" t="s">
        <v>495</v>
      </c>
      <c r="B40" t="str">
        <f t="shared" si="0"/>
        <v>SLFRSN</v>
      </c>
      <c r="C40" t="str">
        <f t="shared" si="1"/>
        <v/>
      </c>
      <c r="D40" t="str">
        <f t="shared" si="2"/>
        <v>SLFRSN</v>
      </c>
      <c r="E40" t="str">
        <f t="shared" si="3"/>
        <v/>
      </c>
      <c r="G40" t="s">
        <v>495</v>
      </c>
      <c r="H40" t="str">
        <f t="shared" si="4"/>
        <v>SLFRSN</v>
      </c>
      <c r="I40" t="str">
        <f t="shared" si="5"/>
        <v/>
      </c>
      <c r="J40" t="str">
        <f t="shared" si="6"/>
        <v>SLFRSN</v>
      </c>
      <c r="K40" t="str">
        <f t="shared" si="7"/>
        <v/>
      </c>
      <c r="M40" t="s">
        <v>495</v>
      </c>
      <c r="N40" t="str">
        <f t="shared" si="8"/>
        <v>SLFRSN</v>
      </c>
      <c r="O40" t="str">
        <f t="shared" si="9"/>
        <v/>
      </c>
      <c r="P40" t="str">
        <f t="shared" si="10"/>
        <v>SLFRSN</v>
      </c>
      <c r="Q40" t="str">
        <f t="shared" si="11"/>
        <v/>
      </c>
      <c r="S40" t="s">
        <v>495</v>
      </c>
      <c r="T40" t="str">
        <f t="shared" si="12"/>
        <v>SLFRSN</v>
      </c>
      <c r="U40" t="str">
        <f t="shared" si="13"/>
        <v/>
      </c>
      <c r="V40" t="str">
        <f t="shared" si="14"/>
        <v>SLFRSN</v>
      </c>
      <c r="W40" t="str">
        <f t="shared" si="15"/>
        <v/>
      </c>
      <c r="Y40" t="s">
        <v>495</v>
      </c>
      <c r="Z40" t="str">
        <f t="shared" si="16"/>
        <v>SLFRSN</v>
      </c>
      <c r="AA40" t="str">
        <f t="shared" si="17"/>
        <v/>
      </c>
      <c r="AB40" t="str">
        <f t="shared" si="18"/>
        <v>SLFRSN</v>
      </c>
      <c r="AC40" t="str">
        <f t="shared" si="19"/>
        <v/>
      </c>
    </row>
    <row r="41" spans="1:35">
      <c r="A41" t="s">
        <v>496</v>
      </c>
      <c r="B41" t="str">
        <f t="shared" si="0"/>
        <v>SLFOSP</v>
      </c>
      <c r="C41" t="str">
        <f t="shared" si="1"/>
        <v>00000</v>
      </c>
      <c r="D41" t="str">
        <f t="shared" si="2"/>
        <v>SLFOSP</v>
      </c>
      <c r="E41" t="str">
        <f t="shared" si="3"/>
        <v>00000</v>
      </c>
      <c r="G41" t="s">
        <v>496</v>
      </c>
      <c r="H41" t="str">
        <f t="shared" si="4"/>
        <v>SLFOSP</v>
      </c>
      <c r="I41" t="str">
        <f t="shared" si="5"/>
        <v>00000</v>
      </c>
      <c r="J41" t="str">
        <f t="shared" si="6"/>
        <v>SLFOSP</v>
      </c>
      <c r="K41" t="str">
        <f t="shared" si="7"/>
        <v>00000</v>
      </c>
      <c r="M41" t="s">
        <v>496</v>
      </c>
      <c r="N41" t="str">
        <f t="shared" si="8"/>
        <v>SLFOSP</v>
      </c>
      <c r="O41" t="str">
        <f t="shared" si="9"/>
        <v>00000</v>
      </c>
      <c r="P41" t="str">
        <f t="shared" si="10"/>
        <v>SLFOSP</v>
      </c>
      <c r="Q41" t="str">
        <f t="shared" si="11"/>
        <v>00000</v>
      </c>
      <c r="S41" t="s">
        <v>496</v>
      </c>
      <c r="T41" t="str">
        <f t="shared" si="12"/>
        <v>SLFOSP</v>
      </c>
      <c r="U41" t="str">
        <f t="shared" si="13"/>
        <v>00000</v>
      </c>
      <c r="V41" t="str">
        <f t="shared" si="14"/>
        <v>SLFOSP</v>
      </c>
      <c r="W41" t="str">
        <f t="shared" si="15"/>
        <v>00000</v>
      </c>
      <c r="Y41" t="s">
        <v>496</v>
      </c>
      <c r="Z41" t="str">
        <f t="shared" si="16"/>
        <v>SLFOSP</v>
      </c>
      <c r="AA41" t="str">
        <f t="shared" si="17"/>
        <v>00000</v>
      </c>
      <c r="AB41" t="str">
        <f t="shared" si="18"/>
        <v>SLFOSP</v>
      </c>
      <c r="AC41" t="str">
        <f t="shared" si="19"/>
        <v>00000</v>
      </c>
    </row>
    <row r="42" spans="1:35">
      <c r="A42" t="s">
        <v>497</v>
      </c>
      <c r="B42" t="str">
        <f t="shared" si="0"/>
        <v>SLFOST</v>
      </c>
      <c r="C42" t="str">
        <f t="shared" si="1"/>
        <v>00000</v>
      </c>
      <c r="D42" t="str">
        <f t="shared" si="2"/>
        <v>SLFOST</v>
      </c>
      <c r="E42" t="str">
        <f t="shared" si="3"/>
        <v>00000</v>
      </c>
      <c r="G42" t="s">
        <v>497</v>
      </c>
      <c r="H42" t="str">
        <f t="shared" si="4"/>
        <v>SLFOST</v>
      </c>
      <c r="I42" t="str">
        <f t="shared" si="5"/>
        <v>00000</v>
      </c>
      <c r="J42" t="str">
        <f t="shared" si="6"/>
        <v>SLFOST</v>
      </c>
      <c r="K42" t="str">
        <f t="shared" si="7"/>
        <v>00000</v>
      </c>
      <c r="M42" t="s">
        <v>497</v>
      </c>
      <c r="N42" t="str">
        <f t="shared" si="8"/>
        <v>SLFOST</v>
      </c>
      <c r="O42" t="str">
        <f t="shared" si="9"/>
        <v>00000</v>
      </c>
      <c r="P42" t="str">
        <f t="shared" si="10"/>
        <v>SLFOST</v>
      </c>
      <c r="Q42" t="str">
        <f t="shared" si="11"/>
        <v>00000</v>
      </c>
      <c r="S42" t="s">
        <v>497</v>
      </c>
      <c r="T42" t="str">
        <f t="shared" si="12"/>
        <v>SLFOST</v>
      </c>
      <c r="U42" t="str">
        <f t="shared" si="13"/>
        <v>00000</v>
      </c>
      <c r="V42" t="str">
        <f t="shared" si="14"/>
        <v>SLFOST</v>
      </c>
      <c r="W42" t="str">
        <f t="shared" si="15"/>
        <v>00000</v>
      </c>
      <c r="Y42" t="s">
        <v>497</v>
      </c>
      <c r="Z42" t="str">
        <f t="shared" si="16"/>
        <v>SLFOST</v>
      </c>
      <c r="AA42" t="str">
        <f t="shared" si="17"/>
        <v>00000</v>
      </c>
      <c r="AB42" t="str">
        <f t="shared" si="18"/>
        <v>SLFOST</v>
      </c>
      <c r="AC42" t="str">
        <f t="shared" si="19"/>
        <v>00000</v>
      </c>
    </row>
    <row r="43" spans="1:35">
      <c r="A43" t="s">
        <v>498</v>
      </c>
      <c r="B43" t="str">
        <f t="shared" si="0"/>
        <v>SLFGDA</v>
      </c>
      <c r="C43" t="str">
        <f t="shared" si="1"/>
        <v>000000000</v>
      </c>
      <c r="D43" t="str">
        <f t="shared" si="2"/>
        <v>SLFGDA</v>
      </c>
      <c r="E43" t="str">
        <f t="shared" si="3"/>
        <v>000000000</v>
      </c>
      <c r="G43" t="s">
        <v>498</v>
      </c>
      <c r="H43" t="str">
        <f t="shared" si="4"/>
        <v>SLFGDA</v>
      </c>
      <c r="I43" t="str">
        <f t="shared" si="5"/>
        <v>000000000</v>
      </c>
      <c r="J43" t="str">
        <f t="shared" si="6"/>
        <v>SLFGDA</v>
      </c>
      <c r="K43" t="str">
        <f t="shared" si="7"/>
        <v>000000000</v>
      </c>
      <c r="M43" t="s">
        <v>498</v>
      </c>
      <c r="N43" t="str">
        <f t="shared" si="8"/>
        <v>SLFGDA</v>
      </c>
      <c r="O43" t="str">
        <f t="shared" si="9"/>
        <v>000000000</v>
      </c>
      <c r="P43" t="str">
        <f t="shared" si="10"/>
        <v>SLFGDA</v>
      </c>
      <c r="Q43" t="str">
        <f t="shared" si="11"/>
        <v>000000000</v>
      </c>
      <c r="S43" t="s">
        <v>498</v>
      </c>
      <c r="T43" t="str">
        <f t="shared" si="12"/>
        <v>SLFGDA</v>
      </c>
      <c r="U43" t="str">
        <f t="shared" si="13"/>
        <v>000000000</v>
      </c>
      <c r="V43" t="str">
        <f t="shared" si="14"/>
        <v>SLFGDA</v>
      </c>
      <c r="W43" t="str">
        <f t="shared" si="15"/>
        <v>000000000</v>
      </c>
      <c r="Y43" t="s">
        <v>498</v>
      </c>
      <c r="Z43" t="str">
        <f t="shared" si="16"/>
        <v>SLFGDA</v>
      </c>
      <c r="AA43" t="str">
        <f t="shared" si="17"/>
        <v>000000000</v>
      </c>
      <c r="AB43" t="str">
        <f t="shared" si="18"/>
        <v>SLFGDA</v>
      </c>
      <c r="AC43" t="str">
        <f t="shared" si="19"/>
        <v>000000000</v>
      </c>
    </row>
    <row r="44" spans="1:35">
      <c r="A44" t="s">
        <v>499</v>
      </c>
      <c r="B44" t="str">
        <f t="shared" si="0"/>
        <v>SLFGDS</v>
      </c>
      <c r="C44" t="str">
        <f t="shared" si="1"/>
        <v/>
      </c>
      <c r="D44" t="str">
        <f t="shared" si="2"/>
        <v>SLFGDS</v>
      </c>
      <c r="E44" t="str">
        <f t="shared" si="3"/>
        <v/>
      </c>
      <c r="G44" t="s">
        <v>499</v>
      </c>
      <c r="H44" t="str">
        <f t="shared" si="4"/>
        <v>SLFGDS</v>
      </c>
      <c r="I44" t="str">
        <f t="shared" si="5"/>
        <v/>
      </c>
      <c r="J44" t="str">
        <f t="shared" si="6"/>
        <v>SLFGDS</v>
      </c>
      <c r="K44" t="str">
        <f t="shared" si="7"/>
        <v/>
      </c>
      <c r="M44" t="s">
        <v>499</v>
      </c>
      <c r="N44" t="str">
        <f t="shared" si="8"/>
        <v>SLFGDS</v>
      </c>
      <c r="O44" t="str">
        <f t="shared" si="9"/>
        <v/>
      </c>
      <c r="P44" t="str">
        <f t="shared" si="10"/>
        <v>SLFGDS</v>
      </c>
      <c r="Q44" t="str">
        <f t="shared" si="11"/>
        <v/>
      </c>
      <c r="S44" t="s">
        <v>499</v>
      </c>
      <c r="T44" t="str">
        <f t="shared" si="12"/>
        <v>SLFGDS</v>
      </c>
      <c r="U44" t="str">
        <f t="shared" si="13"/>
        <v/>
      </c>
      <c r="V44" t="str">
        <f t="shared" si="14"/>
        <v>SLFGDS</v>
      </c>
      <c r="W44" t="str">
        <f t="shared" si="15"/>
        <v/>
      </c>
      <c r="Y44" t="s">
        <v>499</v>
      </c>
      <c r="Z44" t="str">
        <f t="shared" si="16"/>
        <v>SLFGDS</v>
      </c>
      <c r="AA44" t="str">
        <f t="shared" si="17"/>
        <v/>
      </c>
      <c r="AB44" t="str">
        <f t="shared" si="18"/>
        <v>SLFGDS</v>
      </c>
      <c r="AC44" t="str">
        <f t="shared" si="19"/>
        <v/>
      </c>
    </row>
    <row r="45" spans="1:35">
      <c r="A45" t="s">
        <v>500</v>
      </c>
      <c r="B45" t="str">
        <f t="shared" si="0"/>
        <v>SLFGDR</v>
      </c>
      <c r="C45" t="str">
        <f t="shared" si="1"/>
        <v>00</v>
      </c>
      <c r="D45" t="str">
        <f t="shared" si="2"/>
        <v>SLFGDR</v>
      </c>
      <c r="E45" t="str">
        <f t="shared" si="3"/>
        <v>00</v>
      </c>
      <c r="G45" t="s">
        <v>500</v>
      </c>
      <c r="H45" t="str">
        <f t="shared" si="4"/>
        <v>SLFGDR</v>
      </c>
      <c r="I45" t="str">
        <f t="shared" si="5"/>
        <v>00</v>
      </c>
      <c r="J45" t="str">
        <f t="shared" si="6"/>
        <v>SLFGDR</v>
      </c>
      <c r="K45" t="str">
        <f t="shared" si="7"/>
        <v>00</v>
      </c>
      <c r="M45" t="s">
        <v>500</v>
      </c>
      <c r="N45" t="str">
        <f t="shared" si="8"/>
        <v>SLFGDR</v>
      </c>
      <c r="O45" t="str">
        <f t="shared" si="9"/>
        <v>00</v>
      </c>
      <c r="P45" t="str">
        <f t="shared" si="10"/>
        <v>SLFGDR</v>
      </c>
      <c r="Q45" t="str">
        <f t="shared" si="11"/>
        <v>00</v>
      </c>
      <c r="S45" t="s">
        <v>500</v>
      </c>
      <c r="T45" t="str">
        <f t="shared" si="12"/>
        <v>SLFGDR</v>
      </c>
      <c r="U45" t="str">
        <f t="shared" si="13"/>
        <v>00</v>
      </c>
      <c r="V45" t="str">
        <f t="shared" si="14"/>
        <v>SLFGDR</v>
      </c>
      <c r="W45" t="str">
        <f t="shared" si="15"/>
        <v>00</v>
      </c>
      <c r="Y45" t="s">
        <v>500</v>
      </c>
      <c r="Z45" t="str">
        <f t="shared" si="16"/>
        <v>SLFGDR</v>
      </c>
      <c r="AA45" t="str">
        <f t="shared" si="17"/>
        <v>00</v>
      </c>
      <c r="AB45" t="str">
        <f t="shared" si="18"/>
        <v>SLFGDR</v>
      </c>
      <c r="AC45" t="str">
        <f t="shared" si="19"/>
        <v>00</v>
      </c>
    </row>
    <row r="46" spans="1:35">
      <c r="A46" t="s">
        <v>501</v>
      </c>
      <c r="B46" t="str">
        <f t="shared" si="0"/>
        <v>SLFRDR</v>
      </c>
      <c r="C46" t="str">
        <f t="shared" si="1"/>
        <v>00</v>
      </c>
      <c r="D46" t="str">
        <f t="shared" si="2"/>
        <v>SLFRDR</v>
      </c>
      <c r="E46" t="str">
        <f t="shared" si="3"/>
        <v>00</v>
      </c>
      <c r="G46" t="s">
        <v>501</v>
      </c>
      <c r="H46" t="str">
        <f t="shared" si="4"/>
        <v>SLFRDR</v>
      </c>
      <c r="I46" t="str">
        <f t="shared" si="5"/>
        <v>00</v>
      </c>
      <c r="J46" t="str">
        <f t="shared" si="6"/>
        <v>SLFRDR</v>
      </c>
      <c r="K46" t="str">
        <f t="shared" si="7"/>
        <v>00</v>
      </c>
      <c r="M46" t="s">
        <v>501</v>
      </c>
      <c r="N46" t="str">
        <f t="shared" si="8"/>
        <v>SLFRDR</v>
      </c>
      <c r="O46" t="str">
        <f t="shared" si="9"/>
        <v>00</v>
      </c>
      <c r="P46" t="str">
        <f t="shared" si="10"/>
        <v>SLFRDR</v>
      </c>
      <c r="Q46" t="str">
        <f t="shared" si="11"/>
        <v>00</v>
      </c>
      <c r="S46" t="s">
        <v>501</v>
      </c>
      <c r="T46" t="str">
        <f t="shared" si="12"/>
        <v>SLFRDR</v>
      </c>
      <c r="U46" t="str">
        <f t="shared" si="13"/>
        <v>00</v>
      </c>
      <c r="V46" t="str">
        <f t="shared" si="14"/>
        <v>SLFRDR</v>
      </c>
      <c r="W46" t="str">
        <f t="shared" si="15"/>
        <v>00</v>
      </c>
      <c r="Y46" t="s">
        <v>501</v>
      </c>
      <c r="Z46" t="str">
        <f t="shared" si="16"/>
        <v>SLFRDR</v>
      </c>
      <c r="AA46" t="str">
        <f t="shared" si="17"/>
        <v>00</v>
      </c>
      <c r="AB46" t="str">
        <f t="shared" si="18"/>
        <v>SLFRDR</v>
      </c>
      <c r="AC46" t="str">
        <f t="shared" si="19"/>
        <v>00</v>
      </c>
    </row>
    <row r="47" spans="1:35">
      <c r="A47" t="s">
        <v>577</v>
      </c>
      <c r="B47" t="str">
        <f t="shared" si="0"/>
        <v>SLFSCN</v>
      </c>
      <c r="C47" t="str">
        <f t="shared" si="1"/>
        <v>N</v>
      </c>
      <c r="D47" t="str">
        <f t="shared" si="2"/>
        <v>SLFSCN</v>
      </c>
      <c r="E47" t="str">
        <f t="shared" si="3"/>
        <v>N</v>
      </c>
      <c r="G47" t="s">
        <v>502</v>
      </c>
      <c r="H47" t="str">
        <f t="shared" si="4"/>
        <v>SLFSCN</v>
      </c>
      <c r="I47" t="str">
        <f t="shared" si="5"/>
        <v>Y</v>
      </c>
      <c r="J47" t="str">
        <f t="shared" si="6"/>
        <v>SLFSCN</v>
      </c>
      <c r="K47" t="str">
        <f t="shared" si="7"/>
        <v>Y</v>
      </c>
      <c r="M47" t="s">
        <v>502</v>
      </c>
      <c r="N47" t="str">
        <f t="shared" si="8"/>
        <v>SLFSCN</v>
      </c>
      <c r="O47" t="str">
        <f t="shared" si="9"/>
        <v>Y</v>
      </c>
      <c r="P47" t="str">
        <f t="shared" si="10"/>
        <v>SLFSCN</v>
      </c>
      <c r="Q47" t="str">
        <f t="shared" si="11"/>
        <v>Y</v>
      </c>
      <c r="S47" t="s">
        <v>502</v>
      </c>
      <c r="T47" t="str">
        <f t="shared" si="12"/>
        <v>SLFSCN</v>
      </c>
      <c r="U47" t="str">
        <f t="shared" si="13"/>
        <v>Y</v>
      </c>
      <c r="V47" t="str">
        <f t="shared" si="14"/>
        <v>SLFSCN</v>
      </c>
      <c r="W47" t="str">
        <f t="shared" si="15"/>
        <v>Y</v>
      </c>
      <c r="Y47" t="s">
        <v>577</v>
      </c>
      <c r="Z47" t="str">
        <f t="shared" si="16"/>
        <v>SLFSCN</v>
      </c>
      <c r="AA47" t="str">
        <f t="shared" si="17"/>
        <v>N</v>
      </c>
      <c r="AB47" t="str">
        <f t="shared" si="18"/>
        <v>SLFSCN</v>
      </c>
      <c r="AC47" t="str">
        <f t="shared" si="19"/>
        <v>N</v>
      </c>
    </row>
    <row r="48" spans="1:35">
      <c r="A48" t="s">
        <v>503</v>
      </c>
      <c r="B48" t="str">
        <f t="shared" si="0"/>
        <v>SLFACD</v>
      </c>
      <c r="C48" t="str">
        <f t="shared" si="1"/>
        <v>ON</v>
      </c>
      <c r="D48" t="str">
        <f t="shared" si="2"/>
        <v>SLFACD</v>
      </c>
      <c r="E48" t="str">
        <f t="shared" si="3"/>
        <v>ON</v>
      </c>
      <c r="G48" t="s">
        <v>503</v>
      </c>
      <c r="H48" t="str">
        <f t="shared" si="4"/>
        <v>SLFACD</v>
      </c>
      <c r="I48" t="str">
        <f t="shared" si="5"/>
        <v>ON</v>
      </c>
      <c r="J48" t="str">
        <f t="shared" si="6"/>
        <v>SLFACD</v>
      </c>
      <c r="K48" t="str">
        <f t="shared" si="7"/>
        <v>ON</v>
      </c>
      <c r="M48" t="s">
        <v>503</v>
      </c>
      <c r="N48" t="str">
        <f t="shared" si="8"/>
        <v>SLFACD</v>
      </c>
      <c r="O48" t="str">
        <f t="shared" si="9"/>
        <v>ON</v>
      </c>
      <c r="P48" t="str">
        <f t="shared" si="10"/>
        <v>SLFACD</v>
      </c>
      <c r="Q48" t="str">
        <f t="shared" si="11"/>
        <v>ON</v>
      </c>
      <c r="S48" t="s">
        <v>503</v>
      </c>
      <c r="T48" t="str">
        <f t="shared" si="12"/>
        <v>SLFACD</v>
      </c>
      <c r="U48" t="str">
        <f t="shared" si="13"/>
        <v>ON</v>
      </c>
      <c r="V48" t="str">
        <f t="shared" si="14"/>
        <v>SLFACD</v>
      </c>
      <c r="W48" t="str">
        <f t="shared" si="15"/>
        <v>ON</v>
      </c>
      <c r="Y48" t="s">
        <v>578</v>
      </c>
      <c r="Z48" t="str">
        <f t="shared" si="16"/>
        <v>SLFACD</v>
      </c>
      <c r="AA48" t="str">
        <f t="shared" si="17"/>
        <v>HON</v>
      </c>
      <c r="AB48" t="str">
        <f t="shared" si="18"/>
        <v>SLFACD</v>
      </c>
      <c r="AC48" t="str">
        <f t="shared" si="19"/>
        <v>HON</v>
      </c>
    </row>
    <row r="49" spans="1:29">
      <c r="A49" t="s">
        <v>504</v>
      </c>
      <c r="B49" t="str">
        <f t="shared" si="0"/>
        <v>SLFTCD</v>
      </c>
      <c r="C49" t="str">
        <f t="shared" si="1"/>
        <v/>
      </c>
      <c r="D49" t="str">
        <f t="shared" si="2"/>
        <v>SLFTCD</v>
      </c>
      <c r="E49" t="str">
        <f t="shared" si="3"/>
        <v/>
      </c>
      <c r="G49" t="s">
        <v>504</v>
      </c>
      <c r="H49" t="str">
        <f t="shared" si="4"/>
        <v>SLFTCD</v>
      </c>
      <c r="I49" t="str">
        <f t="shared" si="5"/>
        <v/>
      </c>
      <c r="J49" t="str">
        <f t="shared" si="6"/>
        <v>SLFTCD</v>
      </c>
      <c r="K49" t="str">
        <f t="shared" si="7"/>
        <v/>
      </c>
      <c r="M49" t="s">
        <v>504</v>
      </c>
      <c r="N49" t="str">
        <f t="shared" si="8"/>
        <v>SLFTCD</v>
      </c>
      <c r="O49" t="str">
        <f t="shared" si="9"/>
        <v/>
      </c>
      <c r="P49" t="str">
        <f t="shared" si="10"/>
        <v>SLFTCD</v>
      </c>
      <c r="Q49" t="str">
        <f t="shared" si="11"/>
        <v/>
      </c>
      <c r="S49" t="s">
        <v>504</v>
      </c>
      <c r="T49" t="str">
        <f t="shared" si="12"/>
        <v>SLFTCD</v>
      </c>
      <c r="U49" t="str">
        <f t="shared" si="13"/>
        <v/>
      </c>
      <c r="V49" t="str">
        <f t="shared" si="14"/>
        <v>SLFTCD</v>
      </c>
      <c r="W49" t="str">
        <f t="shared" si="15"/>
        <v/>
      </c>
      <c r="Y49" t="s">
        <v>505</v>
      </c>
      <c r="Z49" t="str">
        <f t="shared" si="16"/>
        <v>SLFTE1</v>
      </c>
      <c r="AA49" t="str">
        <f t="shared" si="17"/>
        <v/>
      </c>
      <c r="AB49" t="str">
        <f t="shared" si="18"/>
        <v>SLFTE1</v>
      </c>
      <c r="AC49" t="str">
        <f t="shared" si="19"/>
        <v/>
      </c>
    </row>
    <row r="50" spans="1:29">
      <c r="A50" t="s">
        <v>505</v>
      </c>
      <c r="B50" t="str">
        <f t="shared" si="0"/>
        <v>SLFTE1</v>
      </c>
      <c r="C50" t="str">
        <f t="shared" si="1"/>
        <v/>
      </c>
      <c r="D50" t="str">
        <f t="shared" si="2"/>
        <v>SLFTE1</v>
      </c>
      <c r="E50" t="str">
        <f t="shared" si="3"/>
        <v/>
      </c>
      <c r="G50" t="s">
        <v>505</v>
      </c>
      <c r="H50" t="str">
        <f t="shared" si="4"/>
        <v>SLFTE1</v>
      </c>
      <c r="I50" t="str">
        <f t="shared" si="5"/>
        <v/>
      </c>
      <c r="J50" t="str">
        <f t="shared" si="6"/>
        <v>SLFTE1</v>
      </c>
      <c r="K50" t="str">
        <f t="shared" si="7"/>
        <v/>
      </c>
      <c r="M50" t="s">
        <v>505</v>
      </c>
      <c r="N50" t="str">
        <f t="shared" si="8"/>
        <v>SLFTE1</v>
      </c>
      <c r="O50" t="str">
        <f t="shared" si="9"/>
        <v/>
      </c>
      <c r="P50" t="str">
        <f t="shared" si="10"/>
        <v>SLFTE1</v>
      </c>
      <c r="Q50" t="str">
        <f t="shared" si="11"/>
        <v/>
      </c>
      <c r="S50" t="s">
        <v>505</v>
      </c>
      <c r="T50" t="str">
        <f t="shared" si="12"/>
        <v>SLFTE1</v>
      </c>
      <c r="U50" t="str">
        <f t="shared" si="13"/>
        <v/>
      </c>
      <c r="V50" t="str">
        <f t="shared" si="14"/>
        <v>SLFTE1</v>
      </c>
      <c r="W50" t="str">
        <f t="shared" si="15"/>
        <v/>
      </c>
      <c r="Y50" t="s">
        <v>506</v>
      </c>
      <c r="Z50" t="str">
        <f t="shared" si="16"/>
        <v>SLFTE2</v>
      </c>
      <c r="AA50" t="str">
        <f t="shared" si="17"/>
        <v/>
      </c>
      <c r="AB50" t="str">
        <f t="shared" si="18"/>
        <v>SLFTE2</v>
      </c>
      <c r="AC50" t="str">
        <f t="shared" si="19"/>
        <v/>
      </c>
    </row>
    <row r="51" spans="1:29">
      <c r="A51" t="s">
        <v>506</v>
      </c>
      <c r="B51" t="str">
        <f t="shared" si="0"/>
        <v>SLFTE2</v>
      </c>
      <c r="C51" t="str">
        <f t="shared" si="1"/>
        <v/>
      </c>
      <c r="D51" t="str">
        <f t="shared" si="2"/>
        <v>SLFTE2</v>
      </c>
      <c r="E51" t="str">
        <f t="shared" si="3"/>
        <v/>
      </c>
      <c r="G51" t="s">
        <v>506</v>
      </c>
      <c r="H51" t="str">
        <f t="shared" si="4"/>
        <v>SLFTE2</v>
      </c>
      <c r="I51" t="str">
        <f t="shared" si="5"/>
        <v/>
      </c>
      <c r="J51" t="str">
        <f t="shared" si="6"/>
        <v>SLFTE2</v>
      </c>
      <c r="K51" t="str">
        <f t="shared" si="7"/>
        <v/>
      </c>
      <c r="M51" t="s">
        <v>506</v>
      </c>
      <c r="N51" t="str">
        <f t="shared" si="8"/>
        <v>SLFTE2</v>
      </c>
      <c r="O51" t="str">
        <f t="shared" si="9"/>
        <v/>
      </c>
      <c r="P51" t="str">
        <f t="shared" si="10"/>
        <v>SLFTE2</v>
      </c>
      <c r="Q51" t="str">
        <f t="shared" si="11"/>
        <v/>
      </c>
      <c r="S51" t="s">
        <v>506</v>
      </c>
      <c r="T51" t="str">
        <f t="shared" si="12"/>
        <v>SLFTE2</v>
      </c>
      <c r="U51" t="str">
        <f t="shared" si="13"/>
        <v/>
      </c>
      <c r="V51" t="str">
        <f t="shared" si="14"/>
        <v>SLFTE2</v>
      </c>
      <c r="W51" t="str">
        <f t="shared" si="15"/>
        <v/>
      </c>
      <c r="Y51" t="s">
        <v>507</v>
      </c>
      <c r="Z51" t="str">
        <f t="shared" si="16"/>
        <v>SLFTEN</v>
      </c>
      <c r="AA51" t="str">
        <f t="shared" si="17"/>
        <v/>
      </c>
      <c r="AB51" t="str">
        <f t="shared" si="18"/>
        <v>SLFTEN</v>
      </c>
      <c r="AC51" t="str">
        <f t="shared" si="19"/>
        <v/>
      </c>
    </row>
    <row r="52" spans="1:29">
      <c r="A52" t="s">
        <v>507</v>
      </c>
      <c r="B52" t="str">
        <f t="shared" si="0"/>
        <v>SLFTEN</v>
      </c>
      <c r="C52" t="str">
        <f t="shared" si="1"/>
        <v/>
      </c>
      <c r="D52" t="str">
        <f t="shared" si="2"/>
        <v>SLFTEN</v>
      </c>
      <c r="E52" t="str">
        <f t="shared" si="3"/>
        <v/>
      </c>
      <c r="G52" t="s">
        <v>507</v>
      </c>
      <c r="H52" t="str">
        <f t="shared" si="4"/>
        <v>SLFTEN</v>
      </c>
      <c r="I52" t="str">
        <f t="shared" si="5"/>
        <v/>
      </c>
      <c r="J52" t="str">
        <f t="shared" si="6"/>
        <v>SLFTEN</v>
      </c>
      <c r="K52" t="str">
        <f t="shared" si="7"/>
        <v/>
      </c>
      <c r="M52" t="s">
        <v>507</v>
      </c>
      <c r="N52" t="str">
        <f t="shared" si="8"/>
        <v>SLFTEN</v>
      </c>
      <c r="O52" t="str">
        <f t="shared" si="9"/>
        <v/>
      </c>
      <c r="P52" t="str">
        <f t="shared" si="10"/>
        <v>SLFTEN</v>
      </c>
      <c r="Q52" t="str">
        <f t="shared" si="11"/>
        <v/>
      </c>
      <c r="S52" t="s">
        <v>507</v>
      </c>
      <c r="T52" t="str">
        <f t="shared" si="12"/>
        <v>SLFTEN</v>
      </c>
      <c r="U52" t="str">
        <f t="shared" si="13"/>
        <v/>
      </c>
      <c r="V52" t="str">
        <f t="shared" si="14"/>
        <v>SLFTEN</v>
      </c>
      <c r="W52" t="str">
        <f t="shared" si="15"/>
        <v/>
      </c>
      <c r="Y52" t="s">
        <v>579</v>
      </c>
      <c r="Z52" t="str">
        <f t="shared" si="16"/>
        <v>SLFPVC</v>
      </c>
      <c r="AA52" t="str">
        <f t="shared" si="17"/>
        <v/>
      </c>
      <c r="AB52" t="str">
        <f t="shared" si="18"/>
        <v>SLFPVC</v>
      </c>
      <c r="AC52" t="str">
        <f t="shared" si="19"/>
        <v/>
      </c>
    </row>
    <row r="53" spans="1:29">
      <c r="A53" t="s">
        <v>508</v>
      </c>
      <c r="B53" t="str">
        <f t="shared" si="0"/>
        <v>SLFPVC</v>
      </c>
      <c r="C53" t="str">
        <f t="shared" si="1"/>
        <v>REG</v>
      </c>
      <c r="D53" t="str">
        <f t="shared" si="2"/>
        <v>SLFPVC</v>
      </c>
      <c r="E53" t="str">
        <f t="shared" si="3"/>
        <v>REG</v>
      </c>
      <c r="G53" t="s">
        <v>508</v>
      </c>
      <c r="H53" t="str">
        <f t="shared" si="4"/>
        <v>SLFPVC</v>
      </c>
      <c r="I53" t="str">
        <f t="shared" si="5"/>
        <v>REG</v>
      </c>
      <c r="J53" t="str">
        <f t="shared" si="6"/>
        <v>SLFPVC</v>
      </c>
      <c r="K53" t="str">
        <f t="shared" si="7"/>
        <v>REG</v>
      </c>
      <c r="M53" t="s">
        <v>508</v>
      </c>
      <c r="N53" t="str">
        <f t="shared" si="8"/>
        <v>SLFPVC</v>
      </c>
      <c r="O53" t="str">
        <f t="shared" si="9"/>
        <v>REG</v>
      </c>
      <c r="P53" t="str">
        <f t="shared" si="10"/>
        <v>SLFPVC</v>
      </c>
      <c r="Q53" t="str">
        <f t="shared" si="11"/>
        <v>REG</v>
      </c>
      <c r="S53" t="s">
        <v>508</v>
      </c>
      <c r="T53" t="str">
        <f t="shared" si="12"/>
        <v>SLFPVC</v>
      </c>
      <c r="U53" t="str">
        <f t="shared" si="13"/>
        <v>REG</v>
      </c>
      <c r="V53" t="str">
        <f t="shared" si="14"/>
        <v>SLFPVC</v>
      </c>
      <c r="W53" t="str">
        <f t="shared" si="15"/>
        <v>REG</v>
      </c>
      <c r="Y53" t="s">
        <v>580</v>
      </c>
      <c r="Z53" t="str">
        <f t="shared" si="16"/>
        <v>SLFREF</v>
      </c>
      <c r="AA53" t="str">
        <f t="shared" si="17"/>
        <v/>
      </c>
      <c r="AB53" t="str">
        <f t="shared" si="18"/>
        <v>SLFREF</v>
      </c>
      <c r="AC53" t="str">
        <f t="shared" si="19"/>
        <v/>
      </c>
    </row>
    <row r="54" spans="1:29">
      <c r="A54" t="s">
        <v>509</v>
      </c>
      <c r="B54" t="str">
        <f t="shared" si="0"/>
        <v>SLFREF</v>
      </c>
      <c r="C54" t="str">
        <f t="shared" si="1"/>
        <v>ORG</v>
      </c>
      <c r="D54" t="str">
        <f t="shared" si="2"/>
        <v>SLFREF</v>
      </c>
      <c r="E54" t="str">
        <f t="shared" si="3"/>
        <v>ORG</v>
      </c>
      <c r="G54" t="s">
        <v>509</v>
      </c>
      <c r="H54" t="str">
        <f t="shared" si="4"/>
        <v>SLFREF</v>
      </c>
      <c r="I54" t="str">
        <f t="shared" si="5"/>
        <v>ORG</v>
      </c>
      <c r="J54" t="str">
        <f t="shared" si="6"/>
        <v>SLFREF</v>
      </c>
      <c r="K54" t="str">
        <f t="shared" si="7"/>
        <v>ORG</v>
      </c>
      <c r="M54" t="s">
        <v>509</v>
      </c>
      <c r="N54" t="str">
        <f t="shared" si="8"/>
        <v>SLFREF</v>
      </c>
      <c r="O54" t="str">
        <f t="shared" si="9"/>
        <v>ORG</v>
      </c>
      <c r="P54" t="str">
        <f t="shared" si="10"/>
        <v>SLFREF</v>
      </c>
      <c r="Q54" t="str">
        <f t="shared" si="11"/>
        <v>ORG</v>
      </c>
      <c r="S54" t="s">
        <v>509</v>
      </c>
      <c r="T54" t="str">
        <f t="shared" si="12"/>
        <v>SLFREF</v>
      </c>
      <c r="U54" t="str">
        <f t="shared" si="13"/>
        <v>ORG</v>
      </c>
      <c r="V54" t="str">
        <f t="shared" si="14"/>
        <v>SLFREF</v>
      </c>
      <c r="W54" t="str">
        <f t="shared" si="15"/>
        <v>ORG</v>
      </c>
      <c r="Y54" t="s">
        <v>581</v>
      </c>
      <c r="Z54" t="str">
        <f t="shared" si="16"/>
        <v>SLFORT</v>
      </c>
      <c r="AA54" t="str">
        <f t="shared" si="17"/>
        <v>000000000</v>
      </c>
      <c r="AB54" t="str">
        <f t="shared" si="18"/>
        <v>SLFORT</v>
      </c>
      <c r="AC54" t="str">
        <f t="shared" si="19"/>
        <v>000000000</v>
      </c>
    </row>
    <row r="55" spans="1:29">
      <c r="A55" t="s">
        <v>582</v>
      </c>
      <c r="B55" t="str">
        <f t="shared" si="0"/>
        <v>SLFORT</v>
      </c>
      <c r="C55" t="str">
        <f t="shared" si="1"/>
        <v>000000659</v>
      </c>
      <c r="D55" t="str">
        <f t="shared" si="2"/>
        <v>SLFORT</v>
      </c>
      <c r="E55" t="str">
        <f t="shared" si="3"/>
        <v>000000659</v>
      </c>
      <c r="G55" t="s">
        <v>510</v>
      </c>
      <c r="H55" t="str">
        <f t="shared" si="4"/>
        <v>SLFORT</v>
      </c>
      <c r="I55" t="str">
        <f t="shared" si="5"/>
        <v>000001129</v>
      </c>
      <c r="J55" t="str">
        <f t="shared" si="6"/>
        <v>SLFORT</v>
      </c>
      <c r="K55" t="str">
        <f t="shared" si="7"/>
        <v>000001129</v>
      </c>
      <c r="M55" t="s">
        <v>583</v>
      </c>
      <c r="N55" t="str">
        <f t="shared" si="8"/>
        <v>SLFORT</v>
      </c>
      <c r="O55" t="str">
        <f t="shared" si="9"/>
        <v>000000399</v>
      </c>
      <c r="P55" t="str">
        <f t="shared" si="10"/>
        <v>SLFORT</v>
      </c>
      <c r="Q55" t="str">
        <f t="shared" si="11"/>
        <v>000000399</v>
      </c>
      <c r="S55" t="s">
        <v>584</v>
      </c>
      <c r="T55" t="str">
        <f t="shared" si="12"/>
        <v>SLFORT</v>
      </c>
      <c r="U55" t="str">
        <f t="shared" si="13"/>
        <v>000000389</v>
      </c>
      <c r="V55" t="str">
        <f t="shared" si="14"/>
        <v>SLFORT</v>
      </c>
      <c r="W55" t="str">
        <f t="shared" si="15"/>
        <v>000000389</v>
      </c>
      <c r="Y55" t="s">
        <v>512</v>
      </c>
      <c r="Z55" t="str">
        <f t="shared" si="16"/>
        <v>SLFOPN</v>
      </c>
      <c r="AA55" t="str">
        <f t="shared" si="17"/>
        <v/>
      </c>
      <c r="AB55" t="str">
        <f t="shared" si="18"/>
        <v>SLFOPN</v>
      </c>
      <c r="AC55" t="str">
        <f t="shared" si="19"/>
        <v/>
      </c>
    </row>
    <row r="56" spans="1:29">
      <c r="A56" t="s">
        <v>512</v>
      </c>
      <c r="B56" t="str">
        <f t="shared" si="0"/>
        <v>SLFOPN</v>
      </c>
      <c r="C56" t="str">
        <f t="shared" si="1"/>
        <v/>
      </c>
      <c r="D56" t="str">
        <f t="shared" si="2"/>
        <v>SLFOPN</v>
      </c>
      <c r="E56" t="str">
        <f t="shared" si="3"/>
        <v/>
      </c>
      <c r="G56" t="s">
        <v>512</v>
      </c>
      <c r="H56" t="str">
        <f t="shared" si="4"/>
        <v>SLFOPN</v>
      </c>
      <c r="I56" t="str">
        <f t="shared" si="5"/>
        <v/>
      </c>
      <c r="J56" t="str">
        <f t="shared" si="6"/>
        <v>SLFOPN</v>
      </c>
      <c r="K56" t="str">
        <f t="shared" si="7"/>
        <v/>
      </c>
      <c r="M56" t="s">
        <v>512</v>
      </c>
      <c r="N56" t="str">
        <f t="shared" si="8"/>
        <v>SLFOPN</v>
      </c>
      <c r="O56" t="str">
        <f t="shared" si="9"/>
        <v/>
      </c>
      <c r="P56" t="str">
        <f t="shared" si="10"/>
        <v>SLFOPN</v>
      </c>
      <c r="Q56" t="str">
        <f t="shared" si="11"/>
        <v/>
      </c>
      <c r="S56" t="s">
        <v>512</v>
      </c>
      <c r="T56" t="str">
        <f t="shared" si="12"/>
        <v>SLFOPN</v>
      </c>
      <c r="U56" t="str">
        <f t="shared" si="13"/>
        <v/>
      </c>
      <c r="V56" t="str">
        <f t="shared" si="14"/>
        <v>SLFOPN</v>
      </c>
      <c r="W56" t="str">
        <f t="shared" si="15"/>
        <v/>
      </c>
      <c r="Y56" t="s">
        <v>513</v>
      </c>
      <c r="Z56" t="str">
        <f t="shared" si="16"/>
        <v>SLFOTS</v>
      </c>
      <c r="AA56" t="str">
        <f t="shared" si="17"/>
        <v>00000</v>
      </c>
      <c r="AB56" t="str">
        <f t="shared" si="18"/>
        <v>SLFOTS</v>
      </c>
      <c r="AC56" t="str">
        <f t="shared" si="19"/>
        <v>00000</v>
      </c>
    </row>
    <row r="57" spans="1:29">
      <c r="A57" t="s">
        <v>513</v>
      </c>
      <c r="B57" t="str">
        <f t="shared" si="0"/>
        <v>SLFOTS</v>
      </c>
      <c r="C57" t="str">
        <f t="shared" si="1"/>
        <v>00000</v>
      </c>
      <c r="D57" t="str">
        <f t="shared" si="2"/>
        <v>SLFOTS</v>
      </c>
      <c r="E57" t="str">
        <f t="shared" si="3"/>
        <v>00000</v>
      </c>
      <c r="G57" t="s">
        <v>513</v>
      </c>
      <c r="H57" t="str">
        <f t="shared" si="4"/>
        <v>SLFOTS</v>
      </c>
      <c r="I57" t="str">
        <f t="shared" si="5"/>
        <v>00000</v>
      </c>
      <c r="J57" t="str">
        <f t="shared" si="6"/>
        <v>SLFOTS</v>
      </c>
      <c r="K57" t="str">
        <f t="shared" si="7"/>
        <v>00000</v>
      </c>
      <c r="M57" t="s">
        <v>513</v>
      </c>
      <c r="N57" t="str">
        <f t="shared" si="8"/>
        <v>SLFOTS</v>
      </c>
      <c r="O57" t="str">
        <f t="shared" si="9"/>
        <v>00000</v>
      </c>
      <c r="P57" t="str">
        <f t="shared" si="10"/>
        <v>SLFOTS</v>
      </c>
      <c r="Q57" t="str">
        <f t="shared" si="11"/>
        <v>00000</v>
      </c>
      <c r="S57" t="s">
        <v>513</v>
      </c>
      <c r="T57" t="str">
        <f t="shared" si="12"/>
        <v>SLFOTS</v>
      </c>
      <c r="U57" t="str">
        <f t="shared" si="13"/>
        <v>00000</v>
      </c>
      <c r="V57" t="str">
        <f t="shared" si="14"/>
        <v>SLFOTS</v>
      </c>
      <c r="W57" t="str">
        <f t="shared" si="15"/>
        <v>00000</v>
      </c>
      <c r="Y57" t="s">
        <v>514</v>
      </c>
      <c r="Z57" t="str">
        <f t="shared" si="16"/>
        <v>SLFOTD</v>
      </c>
      <c r="AA57" t="str">
        <f t="shared" si="17"/>
        <v>000000</v>
      </c>
      <c r="AB57" t="str">
        <f t="shared" si="18"/>
        <v>SLFOTD</v>
      </c>
      <c r="AC57" t="str">
        <f t="shared" si="19"/>
        <v>000000</v>
      </c>
    </row>
    <row r="58" spans="1:29">
      <c r="A58" t="s">
        <v>514</v>
      </c>
      <c r="B58" t="str">
        <f t="shared" si="0"/>
        <v>SLFOTD</v>
      </c>
      <c r="C58" t="str">
        <f t="shared" si="1"/>
        <v>000000</v>
      </c>
      <c r="D58" t="str">
        <f t="shared" si="2"/>
        <v>SLFOTD</v>
      </c>
      <c r="E58" t="str">
        <f t="shared" si="3"/>
        <v>000000</v>
      </c>
      <c r="G58" t="s">
        <v>514</v>
      </c>
      <c r="H58" t="str">
        <f t="shared" si="4"/>
        <v>SLFOTD</v>
      </c>
      <c r="I58" t="str">
        <f t="shared" si="5"/>
        <v>000000</v>
      </c>
      <c r="J58" t="str">
        <f t="shared" si="6"/>
        <v>SLFOTD</v>
      </c>
      <c r="K58" t="str">
        <f t="shared" si="7"/>
        <v>000000</v>
      </c>
      <c r="M58" t="s">
        <v>514</v>
      </c>
      <c r="N58" t="str">
        <f t="shared" si="8"/>
        <v>SLFOTD</v>
      </c>
      <c r="O58" t="str">
        <f t="shared" si="9"/>
        <v>000000</v>
      </c>
      <c r="P58" t="str">
        <f t="shared" si="10"/>
        <v>SLFOTD</v>
      </c>
      <c r="Q58" t="str">
        <f t="shared" si="11"/>
        <v>000000</v>
      </c>
      <c r="S58" t="s">
        <v>514</v>
      </c>
      <c r="T58" t="str">
        <f t="shared" si="12"/>
        <v>SLFOTD</v>
      </c>
      <c r="U58" t="str">
        <f t="shared" si="13"/>
        <v>000000</v>
      </c>
      <c r="V58" t="str">
        <f t="shared" si="14"/>
        <v>SLFOTD</v>
      </c>
      <c r="W58" t="str">
        <f t="shared" si="15"/>
        <v>000000</v>
      </c>
      <c r="Y58" t="s">
        <v>515</v>
      </c>
      <c r="Z58" t="str">
        <f t="shared" si="16"/>
        <v>SLFOTR</v>
      </c>
      <c r="AA58" t="str">
        <f t="shared" si="17"/>
        <v>000</v>
      </c>
      <c r="AB58" t="str">
        <f t="shared" si="18"/>
        <v>SLFOTR</v>
      </c>
      <c r="AC58" t="str">
        <f t="shared" si="19"/>
        <v>000</v>
      </c>
    </row>
    <row r="59" spans="1:29">
      <c r="A59" t="s">
        <v>515</v>
      </c>
      <c r="B59" t="str">
        <f t="shared" si="0"/>
        <v>SLFOTR</v>
      </c>
      <c r="C59" t="str">
        <f t="shared" si="1"/>
        <v>000</v>
      </c>
      <c r="D59" t="str">
        <f t="shared" si="2"/>
        <v>SLFOTR</v>
      </c>
      <c r="E59" t="str">
        <f t="shared" si="3"/>
        <v>000</v>
      </c>
      <c r="G59" t="s">
        <v>515</v>
      </c>
      <c r="H59" t="str">
        <f t="shared" si="4"/>
        <v>SLFOTR</v>
      </c>
      <c r="I59" t="str">
        <f t="shared" si="5"/>
        <v>000</v>
      </c>
      <c r="J59" t="str">
        <f t="shared" si="6"/>
        <v>SLFOTR</v>
      </c>
      <c r="K59" t="str">
        <f t="shared" si="7"/>
        <v>000</v>
      </c>
      <c r="M59" t="s">
        <v>515</v>
      </c>
      <c r="N59" t="str">
        <f t="shared" si="8"/>
        <v>SLFOTR</v>
      </c>
      <c r="O59" t="str">
        <f t="shared" si="9"/>
        <v>000</v>
      </c>
      <c r="P59" t="str">
        <f t="shared" si="10"/>
        <v>SLFOTR</v>
      </c>
      <c r="Q59" t="str">
        <f t="shared" si="11"/>
        <v>000</v>
      </c>
      <c r="S59" t="s">
        <v>515</v>
      </c>
      <c r="T59" t="str">
        <f t="shared" si="12"/>
        <v>SLFOTR</v>
      </c>
      <c r="U59" t="str">
        <f t="shared" si="13"/>
        <v>000</v>
      </c>
      <c r="V59" t="str">
        <f t="shared" si="14"/>
        <v>SLFOTR</v>
      </c>
      <c r="W59" t="str">
        <f t="shared" si="15"/>
        <v>000</v>
      </c>
      <c r="Y59" t="s">
        <v>516</v>
      </c>
      <c r="Z59" t="str">
        <f t="shared" si="16"/>
        <v>SLFOTT</v>
      </c>
      <c r="AA59" t="str">
        <f t="shared" si="17"/>
        <v>00000</v>
      </c>
      <c r="AB59" t="str">
        <f t="shared" si="18"/>
        <v>SLFOTT</v>
      </c>
      <c r="AC59" t="str">
        <f t="shared" si="19"/>
        <v>00000</v>
      </c>
    </row>
    <row r="60" spans="1:29">
      <c r="A60" t="s">
        <v>516</v>
      </c>
      <c r="B60" t="str">
        <f t="shared" si="0"/>
        <v>SLFOTT</v>
      </c>
      <c r="C60" t="str">
        <f t="shared" si="1"/>
        <v>00000</v>
      </c>
      <c r="D60" t="str">
        <f t="shared" si="2"/>
        <v>SLFOTT</v>
      </c>
      <c r="E60" t="str">
        <f t="shared" si="3"/>
        <v>00000</v>
      </c>
      <c r="G60" t="s">
        <v>516</v>
      </c>
      <c r="H60" t="str">
        <f t="shared" si="4"/>
        <v>SLFOTT</v>
      </c>
      <c r="I60" t="str">
        <f t="shared" si="5"/>
        <v>00000</v>
      </c>
      <c r="J60" t="str">
        <f t="shared" si="6"/>
        <v>SLFOTT</v>
      </c>
      <c r="K60" t="str">
        <f t="shared" si="7"/>
        <v>00000</v>
      </c>
      <c r="M60" t="s">
        <v>516</v>
      </c>
      <c r="N60" t="str">
        <f t="shared" si="8"/>
        <v>SLFOTT</v>
      </c>
      <c r="O60" t="str">
        <f t="shared" si="9"/>
        <v>00000</v>
      </c>
      <c r="P60" t="str">
        <f t="shared" si="10"/>
        <v>SLFOTT</v>
      </c>
      <c r="Q60" t="str">
        <f t="shared" si="11"/>
        <v>00000</v>
      </c>
      <c r="S60" t="s">
        <v>516</v>
      </c>
      <c r="T60" t="str">
        <f t="shared" si="12"/>
        <v>SLFOTT</v>
      </c>
      <c r="U60" t="str">
        <f t="shared" si="13"/>
        <v>00000</v>
      </c>
      <c r="V60" t="str">
        <f t="shared" si="14"/>
        <v>SLFOTT</v>
      </c>
      <c r="W60" t="str">
        <f t="shared" si="15"/>
        <v>00000</v>
      </c>
      <c r="Y60" t="s">
        <v>517</v>
      </c>
      <c r="Z60" t="str">
        <f t="shared" si="16"/>
        <v>SLFPLC</v>
      </c>
      <c r="AA60" t="str">
        <f t="shared" si="17"/>
        <v>55010</v>
      </c>
      <c r="AB60" t="str">
        <f t="shared" si="18"/>
        <v>SLFPLC</v>
      </c>
      <c r="AC60" t="str">
        <f t="shared" si="19"/>
        <v>55010</v>
      </c>
    </row>
    <row r="61" spans="1:29">
      <c r="A61" t="s">
        <v>517</v>
      </c>
      <c r="B61" t="str">
        <f t="shared" si="0"/>
        <v>SLFPLC</v>
      </c>
      <c r="C61" t="str">
        <f t="shared" si="1"/>
        <v>55010</v>
      </c>
      <c r="D61" t="str">
        <f t="shared" si="2"/>
        <v>SLFPLC</v>
      </c>
      <c r="E61" t="str">
        <f t="shared" si="3"/>
        <v>55010</v>
      </c>
      <c r="G61" t="s">
        <v>517</v>
      </c>
      <c r="H61" t="str">
        <f t="shared" si="4"/>
        <v>SLFPLC</v>
      </c>
      <c r="I61" t="str">
        <f t="shared" si="5"/>
        <v>55010</v>
      </c>
      <c r="J61" t="str">
        <f t="shared" si="6"/>
        <v>SLFPLC</v>
      </c>
      <c r="K61" t="str">
        <f t="shared" si="7"/>
        <v>55010</v>
      </c>
      <c r="M61" t="s">
        <v>517</v>
      </c>
      <c r="N61" t="str">
        <f t="shared" si="8"/>
        <v>SLFPLC</v>
      </c>
      <c r="O61" t="str">
        <f t="shared" si="9"/>
        <v>55010</v>
      </c>
      <c r="P61" t="str">
        <f t="shared" si="10"/>
        <v>SLFPLC</v>
      </c>
      <c r="Q61" t="str">
        <f t="shared" si="11"/>
        <v>55010</v>
      </c>
      <c r="S61" t="s">
        <v>517</v>
      </c>
      <c r="T61" t="str">
        <f t="shared" si="12"/>
        <v>SLFPLC</v>
      </c>
      <c r="U61" t="str">
        <f t="shared" si="13"/>
        <v>55010</v>
      </c>
      <c r="V61" t="str">
        <f t="shared" si="14"/>
        <v>SLFPLC</v>
      </c>
      <c r="W61" t="str">
        <f t="shared" si="15"/>
        <v>55010</v>
      </c>
      <c r="Y61" t="s">
        <v>518</v>
      </c>
      <c r="Z61" t="str">
        <f t="shared" si="16"/>
        <v>SLFPCN</v>
      </c>
      <c r="AA61" t="str">
        <f t="shared" si="17"/>
        <v>1</v>
      </c>
      <c r="AB61" t="str">
        <f t="shared" si="18"/>
        <v>SLFPCN</v>
      </c>
      <c r="AC61" t="str">
        <f t="shared" si="19"/>
        <v>1</v>
      </c>
    </row>
    <row r="62" spans="1:29">
      <c r="A62" t="s">
        <v>518</v>
      </c>
      <c r="B62" t="str">
        <f t="shared" si="0"/>
        <v>SLFPCN</v>
      </c>
      <c r="C62" t="str">
        <f t="shared" si="1"/>
        <v>1</v>
      </c>
      <c r="D62" t="str">
        <f t="shared" si="2"/>
        <v>SLFPCN</v>
      </c>
      <c r="E62" t="str">
        <f t="shared" si="3"/>
        <v>1</v>
      </c>
      <c r="G62" t="s">
        <v>518</v>
      </c>
      <c r="H62" t="str">
        <f t="shared" si="4"/>
        <v>SLFPCN</v>
      </c>
      <c r="I62" t="str">
        <f t="shared" si="5"/>
        <v>1</v>
      </c>
      <c r="J62" t="str">
        <f t="shared" si="6"/>
        <v>SLFPCN</v>
      </c>
      <c r="K62" t="str">
        <f t="shared" si="7"/>
        <v>1</v>
      </c>
      <c r="M62" t="s">
        <v>518</v>
      </c>
      <c r="N62" t="str">
        <f t="shared" si="8"/>
        <v>SLFPCN</v>
      </c>
      <c r="O62" t="str">
        <f t="shared" si="9"/>
        <v>1</v>
      </c>
      <c r="P62" t="str">
        <f t="shared" si="10"/>
        <v>SLFPCN</v>
      </c>
      <c r="Q62" t="str">
        <f t="shared" si="11"/>
        <v>1</v>
      </c>
      <c r="S62" t="s">
        <v>518</v>
      </c>
      <c r="T62" t="str">
        <f t="shared" si="12"/>
        <v>SLFPCN</v>
      </c>
      <c r="U62" t="str">
        <f t="shared" si="13"/>
        <v>1</v>
      </c>
      <c r="V62" t="str">
        <f t="shared" si="14"/>
        <v>SLFPCN</v>
      </c>
      <c r="W62" t="str">
        <f t="shared" si="15"/>
        <v>1</v>
      </c>
      <c r="Y62" t="s">
        <v>585</v>
      </c>
      <c r="Z62" t="str">
        <f t="shared" si="16"/>
        <v>SLFPDT</v>
      </c>
      <c r="AA62" t="str">
        <f t="shared" si="17"/>
        <v>260126</v>
      </c>
      <c r="AB62" t="str">
        <f t="shared" si="18"/>
        <v>SLFPDT</v>
      </c>
      <c r="AC62" t="str">
        <f t="shared" si="19"/>
        <v>260126</v>
      </c>
    </row>
    <row r="63" spans="1:29">
      <c r="A63" t="s">
        <v>585</v>
      </c>
      <c r="B63" t="str">
        <f t="shared" si="0"/>
        <v>SLFPDT</v>
      </c>
      <c r="C63" t="str">
        <f t="shared" si="1"/>
        <v>260126</v>
      </c>
      <c r="D63" t="str">
        <f t="shared" si="2"/>
        <v>SLFPDT</v>
      </c>
      <c r="E63" t="str">
        <f t="shared" si="3"/>
        <v>260126</v>
      </c>
      <c r="G63" t="s">
        <v>585</v>
      </c>
      <c r="H63" t="str">
        <f t="shared" si="4"/>
        <v>SLFPDT</v>
      </c>
      <c r="I63" t="str">
        <f t="shared" si="5"/>
        <v>260126</v>
      </c>
      <c r="J63" t="str">
        <f t="shared" si="6"/>
        <v>SLFPDT</v>
      </c>
      <c r="K63" t="str">
        <f t="shared" si="7"/>
        <v>260126</v>
      </c>
      <c r="M63" t="s">
        <v>585</v>
      </c>
      <c r="N63" t="str">
        <f t="shared" si="8"/>
        <v>SLFPDT</v>
      </c>
      <c r="O63" t="str">
        <f t="shared" si="9"/>
        <v>260126</v>
      </c>
      <c r="P63" t="str">
        <f t="shared" si="10"/>
        <v>SLFPDT</v>
      </c>
      <c r="Q63" t="str">
        <f t="shared" si="11"/>
        <v>260126</v>
      </c>
      <c r="S63" t="s">
        <v>585</v>
      </c>
      <c r="T63" t="str">
        <f t="shared" si="12"/>
        <v>SLFPDT</v>
      </c>
      <c r="U63" t="str">
        <f t="shared" si="13"/>
        <v>260126</v>
      </c>
      <c r="V63" t="str">
        <f t="shared" si="14"/>
        <v>SLFPDT</v>
      </c>
      <c r="W63" t="str">
        <f t="shared" si="15"/>
        <v>260126</v>
      </c>
      <c r="Y63" t="s">
        <v>520</v>
      </c>
      <c r="Z63" t="str">
        <f t="shared" si="16"/>
        <v>SLFCCN</v>
      </c>
      <c r="AA63" t="str">
        <f t="shared" si="17"/>
        <v>1</v>
      </c>
      <c r="AB63" t="str">
        <f t="shared" si="18"/>
        <v>SLFCCN</v>
      </c>
      <c r="AC63" t="str">
        <f t="shared" si="19"/>
        <v>1</v>
      </c>
    </row>
    <row r="64" spans="1:29">
      <c r="A64" t="s">
        <v>520</v>
      </c>
      <c r="B64" t="str">
        <f t="shared" si="0"/>
        <v>SLFCCN</v>
      </c>
      <c r="C64" t="str">
        <f t="shared" si="1"/>
        <v>1</v>
      </c>
      <c r="D64" t="str">
        <f t="shared" si="2"/>
        <v>SLFCCN</v>
      </c>
      <c r="E64" t="str">
        <f t="shared" si="3"/>
        <v>1</v>
      </c>
      <c r="G64" t="s">
        <v>520</v>
      </c>
      <c r="H64" t="str">
        <f t="shared" si="4"/>
        <v>SLFCCN</v>
      </c>
      <c r="I64" t="str">
        <f t="shared" si="5"/>
        <v>1</v>
      </c>
      <c r="J64" t="str">
        <f t="shared" si="6"/>
        <v>SLFCCN</v>
      </c>
      <c r="K64" t="str">
        <f t="shared" si="7"/>
        <v>1</v>
      </c>
      <c r="M64" t="s">
        <v>520</v>
      </c>
      <c r="N64" t="str">
        <f t="shared" si="8"/>
        <v>SLFCCN</v>
      </c>
      <c r="O64" t="str">
        <f t="shared" si="9"/>
        <v>1</v>
      </c>
      <c r="P64" t="str">
        <f t="shared" si="10"/>
        <v>SLFCCN</v>
      </c>
      <c r="Q64" t="str">
        <f t="shared" si="11"/>
        <v>1</v>
      </c>
      <c r="S64" t="s">
        <v>520</v>
      </c>
      <c r="T64" t="str">
        <f t="shared" si="12"/>
        <v>SLFCCN</v>
      </c>
      <c r="U64" t="str">
        <f t="shared" si="13"/>
        <v>1</v>
      </c>
      <c r="V64" t="str">
        <f t="shared" si="14"/>
        <v>SLFCCN</v>
      </c>
      <c r="W64" t="str">
        <f t="shared" si="15"/>
        <v>1</v>
      </c>
      <c r="Y64" t="s">
        <v>586</v>
      </c>
      <c r="Z64" t="str">
        <f t="shared" si="16"/>
        <v>SLFCDT</v>
      </c>
      <c r="AA64" t="str">
        <f t="shared" si="17"/>
        <v>260126</v>
      </c>
      <c r="AB64" t="str">
        <f t="shared" si="18"/>
        <v>SLFCDT</v>
      </c>
      <c r="AC64" t="str">
        <f t="shared" si="19"/>
        <v>260126</v>
      </c>
    </row>
    <row r="65" spans="1:29">
      <c r="A65" t="s">
        <v>586</v>
      </c>
      <c r="B65" t="str">
        <f t="shared" si="0"/>
        <v>SLFCDT</v>
      </c>
      <c r="C65" t="str">
        <f t="shared" si="1"/>
        <v>260126</v>
      </c>
      <c r="D65" t="str">
        <f t="shared" si="2"/>
        <v>SLFCDT</v>
      </c>
      <c r="E65" t="str">
        <f t="shared" si="3"/>
        <v>260126</v>
      </c>
      <c r="G65" t="s">
        <v>586</v>
      </c>
      <c r="H65" t="str">
        <f t="shared" si="4"/>
        <v>SLFCDT</v>
      </c>
      <c r="I65" t="str">
        <f t="shared" si="5"/>
        <v>260126</v>
      </c>
      <c r="J65" t="str">
        <f t="shared" si="6"/>
        <v>SLFCDT</v>
      </c>
      <c r="K65" t="str">
        <f t="shared" si="7"/>
        <v>260126</v>
      </c>
      <c r="M65" t="s">
        <v>586</v>
      </c>
      <c r="N65" t="str">
        <f t="shared" si="8"/>
        <v>SLFCDT</v>
      </c>
      <c r="O65" t="str">
        <f t="shared" si="9"/>
        <v>260126</v>
      </c>
      <c r="P65" t="str">
        <f t="shared" si="10"/>
        <v>SLFCDT</v>
      </c>
      <c r="Q65" t="str">
        <f t="shared" si="11"/>
        <v>260126</v>
      </c>
      <c r="S65" t="s">
        <v>586</v>
      </c>
      <c r="T65" t="str">
        <f t="shared" si="12"/>
        <v>SLFCDT</v>
      </c>
      <c r="U65" t="str">
        <f t="shared" si="13"/>
        <v>260126</v>
      </c>
      <c r="V65" t="str">
        <f t="shared" si="14"/>
        <v>SLFCDT</v>
      </c>
      <c r="W65" t="str">
        <f t="shared" si="15"/>
        <v>260126</v>
      </c>
      <c r="Y65" t="s">
        <v>587</v>
      </c>
      <c r="Z65" t="str">
        <f t="shared" si="16"/>
        <v>SLFCTM</v>
      </c>
      <c r="AA65" t="str">
        <f t="shared" si="17"/>
        <v>163959</v>
      </c>
      <c r="AB65" t="str">
        <f t="shared" si="18"/>
        <v>SLFCTM</v>
      </c>
      <c r="AC65" t="str">
        <f t="shared" si="19"/>
        <v>163959</v>
      </c>
    </row>
    <row r="66" spans="1:29">
      <c r="A66" t="s">
        <v>587</v>
      </c>
      <c r="B66" t="str">
        <f t="shared" si="0"/>
        <v>SLFCTM</v>
      </c>
      <c r="C66" t="str">
        <f t="shared" si="1"/>
        <v>163959</v>
      </c>
      <c r="D66" t="str">
        <f t="shared" si="2"/>
        <v>SLFCTM</v>
      </c>
      <c r="E66" t="str">
        <f t="shared" si="3"/>
        <v>163959</v>
      </c>
      <c r="G66" t="s">
        <v>587</v>
      </c>
      <c r="H66" t="str">
        <f t="shared" si="4"/>
        <v>SLFCTM</v>
      </c>
      <c r="I66" t="str">
        <f t="shared" si="5"/>
        <v>163959</v>
      </c>
      <c r="J66" t="str">
        <f t="shared" si="6"/>
        <v>SLFCTM</v>
      </c>
      <c r="K66" t="str">
        <f t="shared" si="7"/>
        <v>163959</v>
      </c>
      <c r="M66" t="s">
        <v>587</v>
      </c>
      <c r="N66" t="str">
        <f t="shared" si="8"/>
        <v>SLFCTM</v>
      </c>
      <c r="O66" t="str">
        <f t="shared" si="9"/>
        <v>163959</v>
      </c>
      <c r="P66" t="str">
        <f t="shared" si="10"/>
        <v>SLFCTM</v>
      </c>
      <c r="Q66" t="str">
        <f t="shared" si="11"/>
        <v>163959</v>
      </c>
      <c r="S66" t="s">
        <v>587</v>
      </c>
      <c r="T66" t="str">
        <f t="shared" si="12"/>
        <v>SLFCTM</v>
      </c>
      <c r="U66" t="str">
        <f t="shared" si="13"/>
        <v>163959</v>
      </c>
      <c r="V66" t="str">
        <f t="shared" si="14"/>
        <v>SLFCTM</v>
      </c>
      <c r="W66" t="str">
        <f t="shared" si="15"/>
        <v>163959</v>
      </c>
      <c r="Y66" t="s">
        <v>523</v>
      </c>
      <c r="Z66" t="str">
        <f t="shared" si="16"/>
        <v>SLFORD</v>
      </c>
      <c r="AA66" t="str">
        <f t="shared" si="17"/>
        <v/>
      </c>
      <c r="AB66" t="str">
        <f t="shared" si="18"/>
        <v>SLFORD</v>
      </c>
      <c r="AC66" t="str">
        <f t="shared" si="19"/>
        <v/>
      </c>
    </row>
    <row r="67" spans="1:29">
      <c r="A67" t="s">
        <v>523</v>
      </c>
      <c r="B67" t="str">
        <f t="shared" si="0"/>
        <v>SLFORD</v>
      </c>
      <c r="C67" t="str">
        <f t="shared" si="1"/>
        <v/>
      </c>
      <c r="D67" t="str">
        <f t="shared" si="2"/>
        <v>SLFORD</v>
      </c>
      <c r="E67" t="str">
        <f t="shared" si="3"/>
        <v/>
      </c>
      <c r="G67" t="s">
        <v>523</v>
      </c>
      <c r="H67" t="str">
        <f t="shared" si="4"/>
        <v>SLFORD</v>
      </c>
      <c r="I67" t="str">
        <f t="shared" si="5"/>
        <v/>
      </c>
      <c r="J67" t="str">
        <f t="shared" si="6"/>
        <v>SLFORD</v>
      </c>
      <c r="K67" t="str">
        <f t="shared" si="7"/>
        <v/>
      </c>
      <c r="M67" t="s">
        <v>523</v>
      </c>
      <c r="N67" t="str">
        <f t="shared" si="8"/>
        <v>SLFORD</v>
      </c>
      <c r="O67" t="str">
        <f t="shared" si="9"/>
        <v/>
      </c>
      <c r="P67" t="str">
        <f t="shared" si="10"/>
        <v>SLFORD</v>
      </c>
      <c r="Q67" t="str">
        <f t="shared" si="11"/>
        <v/>
      </c>
      <c r="S67" t="s">
        <v>523</v>
      </c>
      <c r="T67" t="str">
        <f t="shared" si="12"/>
        <v>SLFORD</v>
      </c>
      <c r="U67" t="str">
        <f t="shared" si="13"/>
        <v/>
      </c>
      <c r="V67" t="str">
        <f t="shared" si="14"/>
        <v>SLFORD</v>
      </c>
      <c r="W67" t="str">
        <f t="shared" si="15"/>
        <v/>
      </c>
      <c r="Y67" t="s">
        <v>524</v>
      </c>
      <c r="Z67" t="str">
        <f t="shared" si="16"/>
        <v>ASFPRO</v>
      </c>
      <c r="AA67" t="str">
        <f t="shared" si="17"/>
        <v/>
      </c>
      <c r="AB67" t="str">
        <f t="shared" si="18"/>
        <v>ASFPRO</v>
      </c>
      <c r="AC67" t="str">
        <f t="shared" si="19"/>
        <v/>
      </c>
    </row>
    <row r="68" spans="1:29">
      <c r="A68" t="s">
        <v>524</v>
      </c>
      <c r="B68" t="str">
        <f t="shared" ref="B68:B72" si="24">TRIM(
  SUBSTITUTE(
    SUBSTITUTE(
      LEFT(A68, FIND(":", A68) - 1),
      """",
      ""
    ),
    ",",
    ""
  )
)</f>
        <v>ASFPRO</v>
      </c>
      <c r="C68" t="str">
        <f t="shared" ref="C68:C72" si="25">TRIM(
  SUBSTITUTE(
    SUBSTITUTE(
      _xlfn.TEXTAFTER(A68, ":"),
      """",
      ""
    ),
    ",",
    ""
  )
)</f>
        <v/>
      </c>
      <c r="D68" t="str">
        <f t="shared" ref="D68:D72" si="26">B68</f>
        <v>ASFPRO</v>
      </c>
      <c r="E68" t="str">
        <f t="shared" ref="E68:E72" si="27">C68</f>
        <v/>
      </c>
      <c r="G68" t="s">
        <v>524</v>
      </c>
      <c r="H68" t="str">
        <f t="shared" ref="H68:H72" si="28">TRIM(
  SUBSTITUTE(
    SUBSTITUTE(
      LEFT(G68, FIND(":", G68) - 1),
      """",
      ""
    ),
    ",",
    ""
  )
)</f>
        <v>ASFPRO</v>
      </c>
      <c r="I68" t="str">
        <f t="shared" ref="I68:I72" si="29">TRIM(
  SUBSTITUTE(
    SUBSTITUTE(
      _xlfn.TEXTAFTER(G68, ":"),
      """",
      ""
    ),
    ",",
    ""
  )
)</f>
        <v/>
      </c>
      <c r="J68" t="str">
        <f t="shared" ref="J68:J72" si="30">H68</f>
        <v>ASFPRO</v>
      </c>
      <c r="K68" t="str">
        <f t="shared" ref="K68:K72" si="31">I68</f>
        <v/>
      </c>
      <c r="M68" t="s">
        <v>524</v>
      </c>
      <c r="N68" t="str">
        <f t="shared" ref="N68:N72" si="32">TRIM(
  SUBSTITUTE(
    SUBSTITUTE(
      LEFT(M68, FIND(":", M68) - 1),
      """",
      ""
    ),
    ",",
    ""
  )
)</f>
        <v>ASFPRO</v>
      </c>
      <c r="O68" t="str">
        <f t="shared" ref="O68:O72" si="33">TRIM(
  SUBSTITUTE(
    SUBSTITUTE(
      _xlfn.TEXTAFTER(M68, ":"),
      """",
      ""
    ),
    ",",
    ""
  )
)</f>
        <v/>
      </c>
      <c r="P68" t="str">
        <f t="shared" ref="P68:P72" si="34">N68</f>
        <v>ASFPRO</v>
      </c>
      <c r="Q68" t="str">
        <f t="shared" ref="Q68:Q72" si="35">O68</f>
        <v/>
      </c>
      <c r="S68" t="s">
        <v>524</v>
      </c>
      <c r="T68" t="str">
        <f t="shared" ref="T68:T72" si="36">TRIM(
  SUBSTITUTE(
    SUBSTITUTE(
      LEFT(S68, FIND(":", S68) - 1),
      """",
      ""
    ),
    ",",
    ""
  )
)</f>
        <v>ASFPRO</v>
      </c>
      <c r="U68" t="str">
        <f t="shared" ref="U68:U72" si="37">TRIM(
  SUBSTITUTE(
    SUBSTITUTE(
      _xlfn.TEXTAFTER(S68, ":"),
      """",
      ""
    ),
    ",",
    ""
  )
)</f>
        <v/>
      </c>
      <c r="V68" t="str">
        <f t="shared" ref="V68:V72" si="38">T68</f>
        <v>ASFPRO</v>
      </c>
      <c r="W68" t="str">
        <f t="shared" ref="W68:W72" si="39">U68</f>
        <v/>
      </c>
      <c r="Y68" t="s">
        <v>525</v>
      </c>
      <c r="Z68" t="str">
        <f t="shared" ref="Z68:Z71" si="40">TRIM(
  SUBSTITUTE(
    SUBSTITUTE(
      LEFT(Y68, FIND(":", Y68) - 1),
      """",
      ""
    ),
    ",",
    ""
  )
)</f>
        <v>ASFSST</v>
      </c>
      <c r="AA68" t="str">
        <f t="shared" ref="AA68:AA71" si="41">TRIM(
  SUBSTITUTE(
    SUBSTITUTE(
      _xlfn.TEXTAFTER(Y68, ":"),
      """",
      ""
    ),
    ",",
    ""
  )
)</f>
        <v>0</v>
      </c>
      <c r="AB68" t="str">
        <f t="shared" ref="AB68:AB71" si="42">Z68</f>
        <v>ASFSST</v>
      </c>
      <c r="AC68" t="str">
        <f t="shared" ref="AC68:AC71" si="43">AA68</f>
        <v>0</v>
      </c>
    </row>
    <row r="69" spans="1:29">
      <c r="A69" t="s">
        <v>525</v>
      </c>
      <c r="B69" t="str">
        <f t="shared" si="24"/>
        <v>ASFSST</v>
      </c>
      <c r="C69" t="str">
        <f t="shared" si="25"/>
        <v>0</v>
      </c>
      <c r="D69" t="str">
        <f t="shared" si="26"/>
        <v>ASFSST</v>
      </c>
      <c r="E69" t="str">
        <f t="shared" si="27"/>
        <v>0</v>
      </c>
      <c r="G69" t="s">
        <v>525</v>
      </c>
      <c r="H69" t="str">
        <f t="shared" si="28"/>
        <v>ASFSST</v>
      </c>
      <c r="I69" t="str">
        <f t="shared" si="29"/>
        <v>0</v>
      </c>
      <c r="J69" t="str">
        <f t="shared" si="30"/>
        <v>ASFSST</v>
      </c>
      <c r="K69" t="str">
        <f t="shared" si="31"/>
        <v>0</v>
      </c>
      <c r="M69" t="s">
        <v>525</v>
      </c>
      <c r="N69" t="str">
        <f t="shared" si="32"/>
        <v>ASFSST</v>
      </c>
      <c r="O69" t="str">
        <f t="shared" si="33"/>
        <v>0</v>
      </c>
      <c r="P69" t="str">
        <f t="shared" si="34"/>
        <v>ASFSST</v>
      </c>
      <c r="Q69" t="str">
        <f t="shared" si="35"/>
        <v>0</v>
      </c>
      <c r="S69" t="s">
        <v>525</v>
      </c>
      <c r="T69" t="str">
        <f t="shared" si="36"/>
        <v>ASFSST</v>
      </c>
      <c r="U69" t="str">
        <f t="shared" si="37"/>
        <v>0</v>
      </c>
      <c r="V69" t="str">
        <f t="shared" si="38"/>
        <v>ASFSST</v>
      </c>
      <c r="W69" t="str">
        <f t="shared" si="39"/>
        <v>0</v>
      </c>
      <c r="Y69" t="s">
        <v>526</v>
      </c>
      <c r="Z69" t="str">
        <f t="shared" si="40"/>
        <v>ASFIST</v>
      </c>
      <c r="AA69" t="str">
        <f t="shared" si="41"/>
        <v>0</v>
      </c>
      <c r="AB69" t="str">
        <f t="shared" si="42"/>
        <v>ASFIST</v>
      </c>
      <c r="AC69" t="str">
        <f t="shared" si="43"/>
        <v>0</v>
      </c>
    </row>
    <row r="70" spans="1:29">
      <c r="A70" t="s">
        <v>526</v>
      </c>
      <c r="B70" t="str">
        <f t="shared" si="24"/>
        <v>ASFIST</v>
      </c>
      <c r="C70" t="str">
        <f t="shared" si="25"/>
        <v>0</v>
      </c>
      <c r="D70" t="str">
        <f t="shared" si="26"/>
        <v>ASFIST</v>
      </c>
      <c r="E70" t="str">
        <f t="shared" si="27"/>
        <v>0</v>
      </c>
      <c r="G70" t="s">
        <v>526</v>
      </c>
      <c r="H70" t="str">
        <f t="shared" si="28"/>
        <v>ASFIST</v>
      </c>
      <c r="I70" t="str">
        <f t="shared" si="29"/>
        <v>0</v>
      </c>
      <c r="J70" t="str">
        <f t="shared" si="30"/>
        <v>ASFIST</v>
      </c>
      <c r="K70" t="str">
        <f t="shared" si="31"/>
        <v>0</v>
      </c>
      <c r="M70" t="s">
        <v>526</v>
      </c>
      <c r="N70" t="str">
        <f t="shared" si="32"/>
        <v>ASFIST</v>
      </c>
      <c r="O70" t="str">
        <f t="shared" si="33"/>
        <v>0</v>
      </c>
      <c r="P70" t="str">
        <f t="shared" si="34"/>
        <v>ASFIST</v>
      </c>
      <c r="Q70" t="str">
        <f t="shared" si="35"/>
        <v>0</v>
      </c>
      <c r="S70" t="s">
        <v>526</v>
      </c>
      <c r="T70" t="str">
        <f t="shared" si="36"/>
        <v>ASFIST</v>
      </c>
      <c r="U70" t="str">
        <f t="shared" si="37"/>
        <v>0</v>
      </c>
      <c r="V70" t="str">
        <f t="shared" si="38"/>
        <v>ASFIST</v>
      </c>
      <c r="W70" t="str">
        <f t="shared" si="39"/>
        <v>0</v>
      </c>
      <c r="Y70" t="s">
        <v>527</v>
      </c>
      <c r="Z70" t="str">
        <f t="shared" si="40"/>
        <v>SLFEML</v>
      </c>
      <c r="AA70" t="str">
        <f t="shared" si="41"/>
        <v/>
      </c>
      <c r="AB70" t="str">
        <f t="shared" si="42"/>
        <v>SLFEML</v>
      </c>
      <c r="AC70" t="str">
        <f t="shared" si="43"/>
        <v/>
      </c>
    </row>
    <row r="71" spans="1:29">
      <c r="A71" t="s">
        <v>527</v>
      </c>
      <c r="B71" t="str">
        <f t="shared" si="24"/>
        <v>SLFEML</v>
      </c>
      <c r="C71" t="str">
        <f t="shared" si="25"/>
        <v/>
      </c>
      <c r="D71" t="str">
        <f t="shared" si="26"/>
        <v>SLFEML</v>
      </c>
      <c r="E71" t="str">
        <f t="shared" si="27"/>
        <v/>
      </c>
      <c r="G71" t="s">
        <v>527</v>
      </c>
      <c r="H71" t="str">
        <f t="shared" si="28"/>
        <v>SLFEML</v>
      </c>
      <c r="I71" t="str">
        <f t="shared" si="29"/>
        <v/>
      </c>
      <c r="J71" t="str">
        <f t="shared" si="30"/>
        <v>SLFEML</v>
      </c>
      <c r="K71" t="str">
        <f t="shared" si="31"/>
        <v/>
      </c>
      <c r="M71" t="s">
        <v>527</v>
      </c>
      <c r="N71" t="str">
        <f t="shared" si="32"/>
        <v>SLFEML</v>
      </c>
      <c r="O71" t="str">
        <f t="shared" si="33"/>
        <v/>
      </c>
      <c r="P71" t="str">
        <f t="shared" si="34"/>
        <v>SLFEML</v>
      </c>
      <c r="Q71" t="str">
        <f t="shared" si="35"/>
        <v/>
      </c>
      <c r="S71" t="s">
        <v>527</v>
      </c>
      <c r="T71" t="str">
        <f t="shared" si="36"/>
        <v>SLFEML</v>
      </c>
      <c r="U71" t="str">
        <f t="shared" si="37"/>
        <v/>
      </c>
      <c r="V71" t="str">
        <f t="shared" si="38"/>
        <v>SLFEML</v>
      </c>
      <c r="W71" t="str">
        <f t="shared" si="39"/>
        <v/>
      </c>
      <c r="Y71" t="s">
        <v>528</v>
      </c>
      <c r="Z71" t="str">
        <f t="shared" si="40"/>
        <v>SLFECN</v>
      </c>
      <c r="AA71" t="str">
        <f t="shared" si="41"/>
        <v>0</v>
      </c>
      <c r="AB71" t="str">
        <f t="shared" si="42"/>
        <v>SLFECN</v>
      </c>
      <c r="AC71" t="str">
        <f t="shared" si="43"/>
        <v>0</v>
      </c>
    </row>
    <row r="72" spans="1:29">
      <c r="A72" t="s">
        <v>528</v>
      </c>
      <c r="B72" t="str">
        <f t="shared" si="24"/>
        <v>SLFECN</v>
      </c>
      <c r="C72" t="str">
        <f t="shared" si="25"/>
        <v>0</v>
      </c>
      <c r="D72" t="str">
        <f t="shared" si="26"/>
        <v>SLFECN</v>
      </c>
      <c r="E72" t="str">
        <f t="shared" si="27"/>
        <v>0</v>
      </c>
      <c r="G72" t="s">
        <v>528</v>
      </c>
      <c r="H72" t="str">
        <f t="shared" si="28"/>
        <v>SLFECN</v>
      </c>
      <c r="I72" t="str">
        <f t="shared" si="29"/>
        <v>0</v>
      </c>
      <c r="J72" t="str">
        <f t="shared" si="30"/>
        <v>SLFECN</v>
      </c>
      <c r="K72" t="str">
        <f t="shared" si="31"/>
        <v>0</v>
      </c>
      <c r="M72" t="s">
        <v>528</v>
      </c>
      <c r="N72" t="str">
        <f t="shared" si="32"/>
        <v>SLFECN</v>
      </c>
      <c r="O72" t="str">
        <f t="shared" si="33"/>
        <v>0</v>
      </c>
      <c r="P72" t="str">
        <f t="shared" si="34"/>
        <v>SLFECN</v>
      </c>
      <c r="Q72" t="str">
        <f t="shared" si="35"/>
        <v>0</v>
      </c>
      <c r="S72" t="s">
        <v>528</v>
      </c>
      <c r="T72" t="str">
        <f t="shared" si="36"/>
        <v>SLFECN</v>
      </c>
      <c r="U72" t="str">
        <f t="shared" si="37"/>
        <v>0</v>
      </c>
      <c r="V72" t="str">
        <f t="shared" si="38"/>
        <v>SLFECN</v>
      </c>
      <c r="W72" t="str">
        <f t="shared" si="39"/>
        <v>0</v>
      </c>
    </row>
  </sheetData>
  <mergeCells count="6">
    <mergeCell ref="AE1:AI1"/>
    <mergeCell ref="A1:E1"/>
    <mergeCell ref="G1:K1"/>
    <mergeCell ref="M1:Q1"/>
    <mergeCell ref="S1:W1"/>
    <mergeCell ref="Y1:A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C542-59A0-438B-9935-28C4F74A74C9}">
  <dimension ref="A1:W72"/>
  <sheetViews>
    <sheetView topLeftCell="A44" workbookViewId="0">
      <selection activeCell="Q34" sqref="Q34:Q71"/>
    </sheetView>
  </sheetViews>
  <sheetFormatPr defaultRowHeight="14.5"/>
  <cols>
    <col min="1" max="1" width="13" customWidth="1"/>
    <col min="2" max="2" width="17.7265625" customWidth="1"/>
  </cols>
  <sheetData>
    <row r="1" spans="1:23">
      <c r="A1" s="97" t="s">
        <v>588</v>
      </c>
      <c r="B1" s="97"/>
      <c r="C1" s="97"/>
      <c r="D1" s="97"/>
      <c r="E1" s="97"/>
      <c r="G1" s="97" t="s">
        <v>589</v>
      </c>
      <c r="H1" s="97"/>
      <c r="I1" s="97"/>
      <c r="J1" s="97"/>
      <c r="K1" s="97"/>
      <c r="M1" s="97" t="s">
        <v>618</v>
      </c>
      <c r="N1" s="97"/>
      <c r="O1" s="97"/>
      <c r="P1" s="97"/>
      <c r="Q1" s="97"/>
      <c r="S1" s="97" t="s">
        <v>590</v>
      </c>
      <c r="T1" s="97"/>
      <c r="U1" s="97"/>
      <c r="V1" s="97"/>
      <c r="W1" s="97"/>
    </row>
    <row r="2" spans="1:23">
      <c r="A2" t="s">
        <v>535</v>
      </c>
      <c r="B2" t="str">
        <f>TRIM(
  SUBSTITUTE(
    SUBSTITUTE(
      LEFT(A2, FIND(":", A2) - 1),
      """",
      ""
    ),
    ",",
    ""
  )
)</f>
        <v>SLFTTP</v>
      </c>
      <c r="C2" t="str">
        <f>TRIM(
  SUBSTITUTE(
    SUBSTITUTE(
      _xlfn.TEXTAFTER(A2, ":"),
      """",
      ""
    ),
    ",",
    ""
  )
)</f>
        <v>01</v>
      </c>
      <c r="D2" t="str">
        <f>B2</f>
        <v>SLFTTP</v>
      </c>
      <c r="E2" t="str">
        <f>C2</f>
        <v>01</v>
      </c>
      <c r="G2" t="s">
        <v>617</v>
      </c>
      <c r="H2" t="str">
        <f>TRIM(
  SUBSTITUTE(
    SUBSTITUTE(
      LEFT(G2, FIND(":", G2) - 1),
      """",
      ""
    ),
    ",",
    ""
  )
)</f>
        <v>SLFTTP</v>
      </c>
      <c r="I2" t="str">
        <f>TRIM(
  SUBSTITUTE(
    SUBSTITUTE(
      _xlfn.TEXTAFTER(G2, ":"),
      """",
      ""
    ),
    ",",
    ""
  )
)</f>
        <v>01</v>
      </c>
      <c r="J2" t="str">
        <f>H2</f>
        <v>SLFTTP</v>
      </c>
      <c r="K2" t="str">
        <f>I2</f>
        <v>01</v>
      </c>
      <c r="M2" t="s">
        <v>617</v>
      </c>
      <c r="N2" t="str">
        <f>TRIM(
  SUBSTITUTE(
    SUBSTITUTE(
      LEFT(M2, FIND(":", M2) - 1),
      """",
      ""
    ),
    ",",
    ""
  )
)</f>
        <v>SLFTTP</v>
      </c>
      <c r="O2" t="str">
        <f>TRIM(
  SUBSTITUTE(
    SUBSTITUTE(
      _xlfn.TEXTAFTER(M2, ":"),
      """",
      ""
    ),
    ",",
    ""
  )
)</f>
        <v>01</v>
      </c>
      <c r="P2" t="str">
        <f>N2</f>
        <v>SLFTTP</v>
      </c>
      <c r="Q2" t="str">
        <f>O2</f>
        <v>01</v>
      </c>
      <c r="S2" t="s">
        <v>419</v>
      </c>
      <c r="T2" t="str">
        <f>TRIM(
  SUBSTITUTE(
    SUBSTITUTE(
      LEFT(S2, FIND(":", S2) - 1),
      """",
      ""
    ),
    ",",
    ""
  )
)</f>
        <v>TNFTTP</v>
      </c>
      <c r="U2" t="str">
        <f>TRIM(
  SUBSTITUTE(
    SUBSTITUTE(
      _xlfn.TEXTAFTER(S2, ":"),
      """",
      ""
    ),
    ",",
    ""
  )
)</f>
        <v>01</v>
      </c>
      <c r="V2" t="str">
        <f>T2</f>
        <v>TNFTTP</v>
      </c>
      <c r="W2" t="str">
        <f>U2</f>
        <v>01</v>
      </c>
    </row>
    <row r="3" spans="1:23">
      <c r="A3" t="s">
        <v>454</v>
      </c>
      <c r="B3" t="str">
        <f t="shared" ref="B3:B66" si="0">TRIM(
  SUBSTITUTE(
    SUBSTITUTE(
      LEFT(A3, FIND(":", A3) - 1),
      """",
      ""
    ),
    ",",
    ""
  )
)</f>
        <v>SLFLNT</v>
      </c>
      <c r="C3" t="str">
        <f t="shared" ref="C3:C66" si="1">TRIM(
  SUBSTITUTE(
    SUBSTITUTE(
      _xlfn.TEXTAFTER(A3, ":"),
      """",
      ""
    ),
    ",",
    ""
  )
)</f>
        <v>01</v>
      </c>
      <c r="D3" t="str">
        <f t="shared" ref="D3:D66" si="2">B3</f>
        <v>SLFLNT</v>
      </c>
      <c r="E3" t="str">
        <f t="shared" ref="E3:E66" si="3">C3</f>
        <v>01</v>
      </c>
      <c r="G3" t="s">
        <v>536</v>
      </c>
      <c r="H3" t="str">
        <f t="shared" ref="H3:H66" si="4">TRIM(
  SUBSTITUTE(
    SUBSTITUTE(
      LEFT(G3, FIND(":", G3) - 1),
      """",
      ""
    ),
    ",",
    ""
  )
)</f>
        <v>SLFLNT</v>
      </c>
      <c r="I3" t="str">
        <f t="shared" ref="I3:I66" si="5">TRIM(
  SUBSTITUTE(
    SUBSTITUTE(
      _xlfn.TEXTAFTER(G3, ":"),
      """",
      ""
    ),
    ",",
    ""
  )
)</f>
        <v>XH</v>
      </c>
      <c r="J3" t="str">
        <f t="shared" ref="J3:J66" si="6">H3</f>
        <v>SLFLNT</v>
      </c>
      <c r="K3" t="str">
        <f t="shared" ref="K3:K66" si="7">I3</f>
        <v>XH</v>
      </c>
      <c r="M3" t="s">
        <v>454</v>
      </c>
      <c r="N3" t="str">
        <f t="shared" ref="N3:N66" si="8">TRIM(
  SUBSTITUTE(
    SUBSTITUTE(
      LEFT(M3, FIND(":", M3) - 1),
      """",
      ""
    ),
    ",",
    ""
  )
)</f>
        <v>SLFLNT</v>
      </c>
      <c r="O3" t="str">
        <f t="shared" ref="O3:O66" si="9">TRIM(
  SUBSTITUTE(
    SUBSTITUTE(
      _xlfn.TEXTAFTER(M3, ":"),
      """",
      ""
    ),
    ",",
    ""
  )
)</f>
        <v>01</v>
      </c>
      <c r="P3" t="str">
        <f t="shared" ref="P3:P66" si="10">N3</f>
        <v>SLFLNT</v>
      </c>
      <c r="Q3" t="str">
        <f t="shared" ref="Q3:Q66" si="11">O3</f>
        <v>01</v>
      </c>
      <c r="S3" t="s">
        <v>591</v>
      </c>
      <c r="T3" t="str">
        <f t="shared" ref="T3:T35" si="12">TRIM(
  SUBSTITUTE(
    SUBSTITUTE(
      LEFT(S3, FIND(":", S3) - 1),
      """",
      ""
    ),
    ",",
    ""
  )
)</f>
        <v>TNFTDT</v>
      </c>
      <c r="U3" t="str">
        <f t="shared" ref="U3:U35" si="13">TRIM(
  SUBSTITUTE(
    SUBSTITUTE(
      _xlfn.TEXTAFTER(S3, ":"),
      """",
      ""
    ),
    ",",
    ""
  )
)</f>
        <v>260128</v>
      </c>
      <c r="V3" t="str">
        <f t="shared" ref="V3:V35" si="14">T3</f>
        <v>TNFTDT</v>
      </c>
      <c r="W3" t="str">
        <f t="shared" ref="W3:W35" si="15">U3</f>
        <v>260128</v>
      </c>
    </row>
    <row r="4" spans="1:23">
      <c r="A4" t="s">
        <v>592</v>
      </c>
      <c r="B4" t="str">
        <f t="shared" si="0"/>
        <v>SLFTDT</v>
      </c>
      <c r="C4" t="str">
        <f t="shared" si="1"/>
        <v>260128</v>
      </c>
      <c r="D4" t="str">
        <f t="shared" si="2"/>
        <v>SLFTDT</v>
      </c>
      <c r="E4" t="str">
        <f t="shared" si="3"/>
        <v>260128</v>
      </c>
      <c r="G4" t="s">
        <v>592</v>
      </c>
      <c r="H4" t="str">
        <f t="shared" si="4"/>
        <v>SLFTDT</v>
      </c>
      <c r="I4" t="str">
        <f t="shared" si="5"/>
        <v>260128</v>
      </c>
      <c r="J4" t="str">
        <f t="shared" si="6"/>
        <v>SLFTDT</v>
      </c>
      <c r="K4" t="str">
        <f t="shared" si="7"/>
        <v>260128</v>
      </c>
      <c r="M4" t="s">
        <v>592</v>
      </c>
      <c r="N4" t="str">
        <f t="shared" si="8"/>
        <v>SLFTDT</v>
      </c>
      <c r="O4" t="str">
        <f t="shared" si="9"/>
        <v>260128</v>
      </c>
      <c r="P4" t="str">
        <f t="shared" si="10"/>
        <v>SLFTDT</v>
      </c>
      <c r="Q4" t="str">
        <f t="shared" si="11"/>
        <v>260128</v>
      </c>
      <c r="S4" t="s">
        <v>619</v>
      </c>
      <c r="T4" t="str">
        <f t="shared" si="12"/>
        <v>TNFTTM</v>
      </c>
      <c r="U4" t="str">
        <f t="shared" si="13"/>
        <v>144416</v>
      </c>
      <c r="V4" t="str">
        <f t="shared" si="14"/>
        <v>TNFTTM</v>
      </c>
      <c r="W4" t="str">
        <f t="shared" si="15"/>
        <v>144416</v>
      </c>
    </row>
    <row r="5" spans="1:23">
      <c r="A5" t="s">
        <v>600</v>
      </c>
      <c r="B5" t="str">
        <f t="shared" si="0"/>
        <v>SLFTTM</v>
      </c>
      <c r="C5" t="str">
        <f t="shared" si="1"/>
        <v>144416</v>
      </c>
      <c r="D5" t="str">
        <f t="shared" si="2"/>
        <v>SLFTTM</v>
      </c>
      <c r="E5" t="str">
        <f t="shared" si="3"/>
        <v>144416</v>
      </c>
      <c r="G5" t="s">
        <v>600</v>
      </c>
      <c r="H5" t="str">
        <f t="shared" si="4"/>
        <v>SLFTTM</v>
      </c>
      <c r="I5" t="str">
        <f t="shared" si="5"/>
        <v>144416</v>
      </c>
      <c r="J5" t="str">
        <f t="shared" si="6"/>
        <v>SLFTTM</v>
      </c>
      <c r="K5" t="str">
        <f t="shared" si="7"/>
        <v>144416</v>
      </c>
      <c r="M5" t="s">
        <v>600</v>
      </c>
      <c r="N5" t="str">
        <f t="shared" si="8"/>
        <v>SLFTTM</v>
      </c>
      <c r="O5" t="str">
        <f t="shared" si="9"/>
        <v>144416</v>
      </c>
      <c r="P5" t="str">
        <f t="shared" si="10"/>
        <v>SLFTTM</v>
      </c>
      <c r="Q5" t="str">
        <f t="shared" si="11"/>
        <v>144416</v>
      </c>
      <c r="S5" t="s">
        <v>422</v>
      </c>
      <c r="T5" t="str">
        <f t="shared" si="12"/>
        <v>TNFCLK</v>
      </c>
      <c r="U5" t="str">
        <f t="shared" si="13"/>
        <v>00085</v>
      </c>
      <c r="V5" t="str">
        <f t="shared" si="14"/>
        <v>TNFCLK</v>
      </c>
      <c r="W5" t="str">
        <f t="shared" si="15"/>
        <v>00085</v>
      </c>
    </row>
    <row r="6" spans="1:23">
      <c r="A6" t="s">
        <v>457</v>
      </c>
      <c r="B6" t="str">
        <f t="shared" si="0"/>
        <v>SLFCLK</v>
      </c>
      <c r="C6" t="str">
        <f t="shared" si="1"/>
        <v>00085</v>
      </c>
      <c r="D6" t="str">
        <f t="shared" si="2"/>
        <v>SLFCLK</v>
      </c>
      <c r="E6" t="str">
        <f t="shared" si="3"/>
        <v>00085</v>
      </c>
      <c r="G6" t="s">
        <v>457</v>
      </c>
      <c r="H6" t="str">
        <f t="shared" si="4"/>
        <v>SLFCLK</v>
      </c>
      <c r="I6" t="str">
        <f t="shared" si="5"/>
        <v>00085</v>
      </c>
      <c r="J6" t="str">
        <f t="shared" si="6"/>
        <v>SLFCLK</v>
      </c>
      <c r="K6" t="str">
        <f t="shared" si="7"/>
        <v>00085</v>
      </c>
      <c r="M6" t="s">
        <v>457</v>
      </c>
      <c r="N6" t="str">
        <f t="shared" si="8"/>
        <v>SLFCLK</v>
      </c>
      <c r="O6" t="str">
        <f t="shared" si="9"/>
        <v>00085</v>
      </c>
      <c r="P6" t="str">
        <f t="shared" si="10"/>
        <v>SLFCLK</v>
      </c>
      <c r="Q6" t="str">
        <f t="shared" si="11"/>
        <v>00085</v>
      </c>
      <c r="S6" t="s">
        <v>423</v>
      </c>
      <c r="T6" t="str">
        <f t="shared" si="12"/>
        <v>TNFREG</v>
      </c>
      <c r="U6" t="str">
        <f t="shared" si="13"/>
        <v>085</v>
      </c>
      <c r="V6" t="str">
        <f t="shared" si="14"/>
        <v>TNFREG</v>
      </c>
      <c r="W6" t="str">
        <f t="shared" si="15"/>
        <v>085</v>
      </c>
    </row>
    <row r="7" spans="1:23">
      <c r="A7" t="s">
        <v>458</v>
      </c>
      <c r="B7" t="str">
        <f t="shared" si="0"/>
        <v>SLFREG</v>
      </c>
      <c r="C7" t="str">
        <f t="shared" si="1"/>
        <v>085</v>
      </c>
      <c r="D7" t="str">
        <f t="shared" si="2"/>
        <v>SLFREG</v>
      </c>
      <c r="E7" t="str">
        <f t="shared" si="3"/>
        <v>085</v>
      </c>
      <c r="G7" t="s">
        <v>458</v>
      </c>
      <c r="H7" t="str">
        <f t="shared" si="4"/>
        <v>SLFREG</v>
      </c>
      <c r="I7" t="str">
        <f t="shared" si="5"/>
        <v>085</v>
      </c>
      <c r="J7" t="str">
        <f t="shared" si="6"/>
        <v>SLFREG</v>
      </c>
      <c r="K7" t="str">
        <f t="shared" si="7"/>
        <v>085</v>
      </c>
      <c r="M7" t="s">
        <v>458</v>
      </c>
      <c r="N7" t="str">
        <f t="shared" si="8"/>
        <v>SLFREG</v>
      </c>
      <c r="O7" t="str">
        <f t="shared" si="9"/>
        <v>085</v>
      </c>
      <c r="P7" t="str">
        <f t="shared" si="10"/>
        <v>SLFREG</v>
      </c>
      <c r="Q7" t="str">
        <f t="shared" si="11"/>
        <v>085</v>
      </c>
      <c r="S7" t="s">
        <v>620</v>
      </c>
      <c r="T7" t="str">
        <f t="shared" si="12"/>
        <v>TNFTTX</v>
      </c>
      <c r="U7" t="str">
        <f t="shared" si="13"/>
        <v>00604</v>
      </c>
      <c r="V7" t="str">
        <f t="shared" si="14"/>
        <v>TNFTTX</v>
      </c>
      <c r="W7" t="str">
        <f t="shared" si="15"/>
        <v>00604</v>
      </c>
    </row>
    <row r="8" spans="1:23">
      <c r="A8" t="s">
        <v>601</v>
      </c>
      <c r="B8" t="str">
        <f t="shared" si="0"/>
        <v>SLFTTX</v>
      </c>
      <c r="C8" t="str">
        <f t="shared" si="1"/>
        <v>00604</v>
      </c>
      <c r="D8" t="str">
        <f t="shared" si="2"/>
        <v>SLFTTX</v>
      </c>
      <c r="E8" t="str">
        <f t="shared" si="3"/>
        <v>00604</v>
      </c>
      <c r="G8" t="s">
        <v>601</v>
      </c>
      <c r="H8" t="str">
        <f t="shared" si="4"/>
        <v>SLFTTX</v>
      </c>
      <c r="I8" t="str">
        <f t="shared" si="5"/>
        <v>00604</v>
      </c>
      <c r="J8" t="str">
        <f t="shared" si="6"/>
        <v>SLFTTX</v>
      </c>
      <c r="K8" t="str">
        <f t="shared" si="7"/>
        <v>00604</v>
      </c>
      <c r="M8" t="s">
        <v>601</v>
      </c>
      <c r="N8" t="str">
        <f t="shared" si="8"/>
        <v>SLFTTX</v>
      </c>
      <c r="O8" t="str">
        <f t="shared" si="9"/>
        <v>00604</v>
      </c>
      <c r="P8" t="str">
        <f t="shared" si="10"/>
        <v>SLFTTX</v>
      </c>
      <c r="Q8" t="str">
        <f t="shared" si="11"/>
        <v>00604</v>
      </c>
      <c r="S8" t="s">
        <v>599</v>
      </c>
      <c r="T8" t="str">
        <f t="shared" si="12"/>
        <v>TNFTSQ</v>
      </c>
      <c r="U8" t="str">
        <f t="shared" si="13"/>
        <v>00004</v>
      </c>
      <c r="V8" t="str">
        <f t="shared" si="14"/>
        <v>TNFTSQ</v>
      </c>
      <c r="W8" t="str">
        <f t="shared" si="15"/>
        <v>00004</v>
      </c>
    </row>
    <row r="9" spans="1:23">
      <c r="A9" t="s">
        <v>460</v>
      </c>
      <c r="B9" t="str">
        <f t="shared" si="0"/>
        <v>SLFTSQ</v>
      </c>
      <c r="C9" t="str">
        <f t="shared" si="1"/>
        <v>00001</v>
      </c>
      <c r="D9" t="str">
        <f t="shared" si="2"/>
        <v>SLFTSQ</v>
      </c>
      <c r="E9" t="str">
        <f t="shared" si="3"/>
        <v>00001</v>
      </c>
      <c r="G9" t="s">
        <v>548</v>
      </c>
      <c r="H9" t="str">
        <f t="shared" si="4"/>
        <v>SLFTSQ</v>
      </c>
      <c r="I9" t="str">
        <f t="shared" si="5"/>
        <v>00003</v>
      </c>
      <c r="J9" t="str">
        <f t="shared" si="6"/>
        <v>SLFTSQ</v>
      </c>
      <c r="K9" t="str">
        <f t="shared" si="7"/>
        <v>00003</v>
      </c>
      <c r="M9" t="s">
        <v>461</v>
      </c>
      <c r="N9" t="str">
        <f t="shared" si="8"/>
        <v>SLFTSQ</v>
      </c>
      <c r="O9" t="str">
        <f t="shared" si="9"/>
        <v>00002</v>
      </c>
      <c r="P9" t="str">
        <f t="shared" si="10"/>
        <v>SLFTSQ</v>
      </c>
      <c r="Q9" t="str">
        <f t="shared" si="11"/>
        <v>00002</v>
      </c>
      <c r="S9" t="s">
        <v>426</v>
      </c>
      <c r="T9" t="str">
        <f t="shared" si="12"/>
        <v>TNFFCD</v>
      </c>
      <c r="U9" t="str">
        <f t="shared" si="13"/>
        <v>VI</v>
      </c>
      <c r="V9" t="str">
        <f t="shared" si="14"/>
        <v>TNFFCD</v>
      </c>
      <c r="W9" t="str">
        <f t="shared" si="15"/>
        <v>VI</v>
      </c>
    </row>
    <row r="10" spans="1:23">
      <c r="A10" t="s">
        <v>602</v>
      </c>
      <c r="B10" t="str">
        <f t="shared" si="0"/>
        <v>SLFSKU</v>
      </c>
      <c r="C10" t="str">
        <f t="shared" si="1"/>
        <v>000272093</v>
      </c>
      <c r="D10" t="str">
        <f t="shared" si="2"/>
        <v>SLFSKU</v>
      </c>
      <c r="E10" t="str">
        <f t="shared" si="3"/>
        <v>000272093</v>
      </c>
      <c r="G10" t="s">
        <v>555</v>
      </c>
      <c r="H10" t="str">
        <f t="shared" si="4"/>
        <v>SLFSKU</v>
      </c>
      <c r="I10" t="str">
        <f t="shared" si="5"/>
        <v>000000000</v>
      </c>
      <c r="J10" t="str">
        <f t="shared" si="6"/>
        <v>SLFSKU</v>
      </c>
      <c r="K10" t="str">
        <f t="shared" si="7"/>
        <v>000000000</v>
      </c>
      <c r="M10" t="s">
        <v>609</v>
      </c>
      <c r="N10" t="str">
        <f t="shared" si="8"/>
        <v>SLFSKU</v>
      </c>
      <c r="O10" t="str">
        <f t="shared" si="9"/>
        <v>000125728</v>
      </c>
      <c r="P10" t="str">
        <f t="shared" si="10"/>
        <v>SLFSKU</v>
      </c>
      <c r="Q10" t="str">
        <f t="shared" si="11"/>
        <v>000125728</v>
      </c>
      <c r="S10" t="s">
        <v>621</v>
      </c>
      <c r="T10" t="str">
        <f t="shared" si="12"/>
        <v>TNFAMT</v>
      </c>
      <c r="U10" t="str">
        <f t="shared" si="13"/>
        <v>00000016832</v>
      </c>
      <c r="V10" t="str">
        <f t="shared" si="14"/>
        <v>TNFAMT</v>
      </c>
      <c r="W10" t="str">
        <f t="shared" si="15"/>
        <v>00000016832</v>
      </c>
    </row>
    <row r="11" spans="1:23">
      <c r="A11" t="s">
        <v>603</v>
      </c>
      <c r="B11" t="str">
        <f t="shared" si="0"/>
        <v>SLFQTY</v>
      </c>
      <c r="C11" t="str">
        <f t="shared" si="1"/>
        <v>000001200</v>
      </c>
      <c r="D11" t="str">
        <f t="shared" si="2"/>
        <v>SLFQTY</v>
      </c>
      <c r="E11" t="str">
        <f t="shared" si="3"/>
        <v>000001200</v>
      </c>
      <c r="G11" t="s">
        <v>464</v>
      </c>
      <c r="H11" t="str">
        <f t="shared" si="4"/>
        <v>SLFQTY</v>
      </c>
      <c r="I11" t="str">
        <f t="shared" si="5"/>
        <v>000000100</v>
      </c>
      <c r="J11" t="str">
        <f t="shared" si="6"/>
        <v>SLFQTY</v>
      </c>
      <c r="K11" t="str">
        <f t="shared" si="7"/>
        <v>000000100</v>
      </c>
      <c r="M11" t="s">
        <v>464</v>
      </c>
      <c r="N11" t="str">
        <f t="shared" si="8"/>
        <v>SLFQTY</v>
      </c>
      <c r="O11" t="str">
        <f t="shared" si="9"/>
        <v>000000100</v>
      </c>
      <c r="P11" t="str">
        <f t="shared" si="10"/>
        <v>SLFQTY</v>
      </c>
      <c r="Q11" t="str">
        <f t="shared" si="11"/>
        <v>000000100</v>
      </c>
      <c r="S11" t="s">
        <v>428</v>
      </c>
      <c r="T11" t="str">
        <f t="shared" si="12"/>
        <v>TNFAMN</v>
      </c>
      <c r="U11" t="str">
        <f t="shared" si="13"/>
        <v/>
      </c>
      <c r="V11" t="str">
        <f t="shared" si="14"/>
        <v>TNFAMN</v>
      </c>
      <c r="W11" t="str">
        <f t="shared" si="15"/>
        <v/>
      </c>
    </row>
    <row r="12" spans="1:23">
      <c r="A12" t="s">
        <v>465</v>
      </c>
      <c r="B12" t="str">
        <f t="shared" si="0"/>
        <v>SLFQTN</v>
      </c>
      <c r="C12" t="str">
        <f t="shared" si="1"/>
        <v/>
      </c>
      <c r="D12" t="str">
        <f t="shared" si="2"/>
        <v>SLFQTN</v>
      </c>
      <c r="E12" t="str">
        <f t="shared" si="3"/>
        <v/>
      </c>
      <c r="G12" t="s">
        <v>465</v>
      </c>
      <c r="H12" t="str">
        <f t="shared" si="4"/>
        <v>SLFQTN</v>
      </c>
      <c r="I12" t="str">
        <f t="shared" si="5"/>
        <v/>
      </c>
      <c r="J12" t="str">
        <f t="shared" si="6"/>
        <v>SLFQTN</v>
      </c>
      <c r="K12" t="str">
        <f t="shared" si="7"/>
        <v/>
      </c>
      <c r="M12" t="s">
        <v>465</v>
      </c>
      <c r="N12" t="str">
        <f t="shared" si="8"/>
        <v>SLFQTN</v>
      </c>
      <c r="O12" t="str">
        <f t="shared" si="9"/>
        <v/>
      </c>
      <c r="P12" t="str">
        <f t="shared" si="10"/>
        <v>SLFQTN</v>
      </c>
      <c r="Q12" t="str">
        <f t="shared" si="11"/>
        <v/>
      </c>
      <c r="S12" t="s">
        <v>593</v>
      </c>
      <c r="T12" t="str">
        <f t="shared" si="12"/>
        <v>TNFCCD</v>
      </c>
      <c r="U12" t="str">
        <f t="shared" si="13"/>
        <v>***************4902</v>
      </c>
      <c r="V12" t="str">
        <f t="shared" si="14"/>
        <v>TNFCCD</v>
      </c>
      <c r="W12" t="str">
        <f t="shared" si="15"/>
        <v>***************4902</v>
      </c>
    </row>
    <row r="13" spans="1:23">
      <c r="A13" t="s">
        <v>604</v>
      </c>
      <c r="B13" t="str">
        <f t="shared" si="0"/>
        <v>SLFORG</v>
      </c>
      <c r="C13" t="str">
        <f t="shared" si="1"/>
        <v>000000083</v>
      </c>
      <c r="D13" t="str">
        <f t="shared" si="2"/>
        <v>SLFORG</v>
      </c>
      <c r="E13" t="str">
        <f t="shared" si="3"/>
        <v>000000083</v>
      </c>
      <c r="G13" t="s">
        <v>561</v>
      </c>
      <c r="H13" t="str">
        <f t="shared" si="4"/>
        <v>SLFORG</v>
      </c>
      <c r="I13" t="str">
        <f t="shared" si="5"/>
        <v>000000000</v>
      </c>
      <c r="J13" t="str">
        <f t="shared" si="6"/>
        <v>SLFORG</v>
      </c>
      <c r="K13" t="str">
        <f t="shared" si="7"/>
        <v>000000000</v>
      </c>
      <c r="M13" t="s">
        <v>610</v>
      </c>
      <c r="N13" t="str">
        <f t="shared" si="8"/>
        <v>SLFORG</v>
      </c>
      <c r="O13" t="str">
        <f t="shared" si="9"/>
        <v>000013900</v>
      </c>
      <c r="P13" t="str">
        <f t="shared" si="10"/>
        <v>SLFORG</v>
      </c>
      <c r="Q13" t="str">
        <f t="shared" si="11"/>
        <v>000013900</v>
      </c>
      <c r="S13" t="s">
        <v>430</v>
      </c>
      <c r="T13" t="str">
        <f t="shared" si="12"/>
        <v>TNFEXP</v>
      </c>
      <c r="U13" t="str">
        <f t="shared" si="13"/>
        <v>0000</v>
      </c>
      <c r="V13" t="str">
        <f t="shared" si="14"/>
        <v>TNFEXP</v>
      </c>
      <c r="W13" t="str">
        <f t="shared" si="15"/>
        <v>0000</v>
      </c>
    </row>
    <row r="14" spans="1:23">
      <c r="A14" t="s">
        <v>468</v>
      </c>
      <c r="B14" t="str">
        <f t="shared" si="0"/>
        <v>SLFORN</v>
      </c>
      <c r="C14" t="str">
        <f t="shared" si="1"/>
        <v/>
      </c>
      <c r="D14" t="str">
        <f t="shared" si="2"/>
        <v>SLFORN</v>
      </c>
      <c r="E14" t="str">
        <f t="shared" si="3"/>
        <v/>
      </c>
      <c r="G14" t="s">
        <v>468</v>
      </c>
      <c r="H14" t="str">
        <f t="shared" si="4"/>
        <v>SLFORN</v>
      </c>
      <c r="I14" t="str">
        <f t="shared" si="5"/>
        <v/>
      </c>
      <c r="J14" t="str">
        <f t="shared" si="6"/>
        <v>SLFORN</v>
      </c>
      <c r="K14" t="str">
        <f t="shared" si="7"/>
        <v/>
      </c>
      <c r="M14" t="s">
        <v>468</v>
      </c>
      <c r="N14" t="str">
        <f t="shared" si="8"/>
        <v>SLFORN</v>
      </c>
      <c r="O14" t="str">
        <f t="shared" si="9"/>
        <v/>
      </c>
      <c r="P14" t="str">
        <f t="shared" si="10"/>
        <v>SLFORN</v>
      </c>
      <c r="Q14" t="str">
        <f t="shared" si="11"/>
        <v/>
      </c>
      <c r="S14" t="s">
        <v>431</v>
      </c>
      <c r="T14" t="str">
        <f t="shared" si="12"/>
        <v>TNFAUT</v>
      </c>
      <c r="U14" t="str">
        <f t="shared" si="13"/>
        <v>066851</v>
      </c>
      <c r="V14" t="str">
        <f t="shared" si="14"/>
        <v>TNFAUT</v>
      </c>
      <c r="W14" t="str">
        <f t="shared" si="15"/>
        <v>066851</v>
      </c>
    </row>
    <row r="15" spans="1:23">
      <c r="A15" t="s">
        <v>469</v>
      </c>
      <c r="B15" t="str">
        <f t="shared" si="0"/>
        <v>SLFADC</v>
      </c>
      <c r="C15" t="str">
        <f t="shared" si="1"/>
        <v>0000</v>
      </c>
      <c r="D15" t="str">
        <f t="shared" si="2"/>
        <v>SLFADC</v>
      </c>
      <c r="E15" t="str">
        <f t="shared" si="3"/>
        <v>0000</v>
      </c>
      <c r="G15" t="s">
        <v>469</v>
      </c>
      <c r="H15" t="str">
        <f t="shared" si="4"/>
        <v>SLFADC</v>
      </c>
      <c r="I15" t="str">
        <f t="shared" si="5"/>
        <v>0000</v>
      </c>
      <c r="J15" t="str">
        <f t="shared" si="6"/>
        <v>SLFADC</v>
      </c>
      <c r="K15" t="str">
        <f t="shared" si="7"/>
        <v>0000</v>
      </c>
      <c r="M15" t="s">
        <v>469</v>
      </c>
      <c r="N15" t="str">
        <f t="shared" si="8"/>
        <v>SLFADC</v>
      </c>
      <c r="O15" t="str">
        <f t="shared" si="9"/>
        <v>0000</v>
      </c>
      <c r="P15" t="str">
        <f t="shared" si="10"/>
        <v>SLFADC</v>
      </c>
      <c r="Q15" t="str">
        <f t="shared" si="11"/>
        <v>0000</v>
      </c>
      <c r="S15" t="s">
        <v>432</v>
      </c>
      <c r="T15" t="str">
        <f t="shared" si="12"/>
        <v>TNFRFC</v>
      </c>
      <c r="U15" t="str">
        <f t="shared" si="13"/>
        <v/>
      </c>
      <c r="V15" t="str">
        <f t="shared" si="14"/>
        <v>TNFRFC</v>
      </c>
      <c r="W15" t="str">
        <f t="shared" si="15"/>
        <v/>
      </c>
    </row>
    <row r="16" spans="1:23">
      <c r="A16" t="s">
        <v>470</v>
      </c>
      <c r="B16" t="str">
        <f t="shared" si="0"/>
        <v>SLFADP</v>
      </c>
      <c r="C16" t="str">
        <f t="shared" si="1"/>
        <v>000000000</v>
      </c>
      <c r="D16" t="str">
        <f t="shared" si="2"/>
        <v>SLFADP</v>
      </c>
      <c r="E16" t="str">
        <f t="shared" si="3"/>
        <v>000000000</v>
      </c>
      <c r="G16" t="s">
        <v>470</v>
      </c>
      <c r="H16" t="str">
        <f t="shared" si="4"/>
        <v>SLFADP</v>
      </c>
      <c r="I16" t="str">
        <f t="shared" si="5"/>
        <v>000000000</v>
      </c>
      <c r="J16" t="str">
        <f t="shared" si="6"/>
        <v>SLFADP</v>
      </c>
      <c r="K16" t="str">
        <f t="shared" si="7"/>
        <v>000000000</v>
      </c>
      <c r="M16" t="s">
        <v>470</v>
      </c>
      <c r="N16" t="str">
        <f t="shared" si="8"/>
        <v>SLFADP</v>
      </c>
      <c r="O16" t="str">
        <f t="shared" si="9"/>
        <v>000000000</v>
      </c>
      <c r="P16" t="str">
        <f t="shared" si="10"/>
        <v>SLFADP</v>
      </c>
      <c r="Q16" t="str">
        <f t="shared" si="11"/>
        <v>000000000</v>
      </c>
      <c r="S16" t="s">
        <v>433</v>
      </c>
      <c r="T16" t="str">
        <f t="shared" si="12"/>
        <v>TNFRDS</v>
      </c>
      <c r="U16" t="str">
        <f t="shared" si="13"/>
        <v/>
      </c>
      <c r="V16" t="str">
        <f t="shared" si="14"/>
        <v>TNFRDS</v>
      </c>
      <c r="W16" t="str">
        <f t="shared" si="15"/>
        <v/>
      </c>
    </row>
    <row r="17" spans="1:23">
      <c r="A17" t="s">
        <v>471</v>
      </c>
      <c r="B17" t="str">
        <f t="shared" si="0"/>
        <v>SLFADN</v>
      </c>
      <c r="C17" t="str">
        <f t="shared" si="1"/>
        <v/>
      </c>
      <c r="D17" t="str">
        <f t="shared" si="2"/>
        <v>SLFADN</v>
      </c>
      <c r="E17" t="str">
        <f t="shared" si="3"/>
        <v/>
      </c>
      <c r="G17" t="s">
        <v>471</v>
      </c>
      <c r="H17" t="str">
        <f t="shared" si="4"/>
        <v>SLFADN</v>
      </c>
      <c r="I17" t="str">
        <f t="shared" si="5"/>
        <v/>
      </c>
      <c r="J17" t="str">
        <f t="shared" si="6"/>
        <v>SLFADN</v>
      </c>
      <c r="K17" t="str">
        <f t="shared" si="7"/>
        <v/>
      </c>
      <c r="M17" t="s">
        <v>471</v>
      </c>
      <c r="N17" t="str">
        <f t="shared" si="8"/>
        <v>SLFADN</v>
      </c>
      <c r="O17" t="str">
        <f t="shared" si="9"/>
        <v/>
      </c>
      <c r="P17" t="str">
        <f t="shared" si="10"/>
        <v>SLFADN</v>
      </c>
      <c r="Q17" t="str">
        <f t="shared" si="11"/>
        <v/>
      </c>
      <c r="S17" t="s">
        <v>434</v>
      </c>
      <c r="T17" t="str">
        <f t="shared" si="12"/>
        <v>TNFMBR</v>
      </c>
      <c r="U17" t="str">
        <f t="shared" si="13"/>
        <v/>
      </c>
      <c r="V17" t="str">
        <f t="shared" si="14"/>
        <v>TNFMBR</v>
      </c>
      <c r="W17" t="str">
        <f t="shared" si="15"/>
        <v/>
      </c>
    </row>
    <row r="18" spans="1:23">
      <c r="A18" t="s">
        <v>472</v>
      </c>
      <c r="B18" t="str">
        <f t="shared" si="0"/>
        <v>SLFOVR</v>
      </c>
      <c r="C18" t="str">
        <f t="shared" si="1"/>
        <v>000000000</v>
      </c>
      <c r="D18" t="str">
        <f t="shared" si="2"/>
        <v>SLFOVR</v>
      </c>
      <c r="E18" t="str">
        <f t="shared" si="3"/>
        <v>000000000</v>
      </c>
      <c r="G18" t="s">
        <v>472</v>
      </c>
      <c r="H18" t="str">
        <f t="shared" si="4"/>
        <v>SLFOVR</v>
      </c>
      <c r="I18" t="str">
        <f t="shared" si="5"/>
        <v>000000000</v>
      </c>
      <c r="J18" t="str">
        <f t="shared" si="6"/>
        <v>SLFOVR</v>
      </c>
      <c r="K18" t="str">
        <f t="shared" si="7"/>
        <v>000000000</v>
      </c>
      <c r="M18" t="s">
        <v>472</v>
      </c>
      <c r="N18" t="str">
        <f t="shared" si="8"/>
        <v>SLFOVR</v>
      </c>
      <c r="O18" t="str">
        <f t="shared" si="9"/>
        <v>000000000</v>
      </c>
      <c r="P18" t="str">
        <f t="shared" si="10"/>
        <v>SLFOVR</v>
      </c>
      <c r="Q18" t="str">
        <f t="shared" si="11"/>
        <v>000000000</v>
      </c>
      <c r="S18" t="s">
        <v>435</v>
      </c>
      <c r="T18" t="str">
        <f t="shared" si="12"/>
        <v>TNFSTS</v>
      </c>
      <c r="U18" t="str">
        <f t="shared" si="13"/>
        <v/>
      </c>
      <c r="V18" t="str">
        <f t="shared" si="14"/>
        <v>TNFSTS</v>
      </c>
      <c r="W18" t="str">
        <f t="shared" si="15"/>
        <v/>
      </c>
    </row>
    <row r="19" spans="1:23">
      <c r="A19" t="s">
        <v>473</v>
      </c>
      <c r="B19" t="str">
        <f t="shared" si="0"/>
        <v>SLFOVN</v>
      </c>
      <c r="C19" t="str">
        <f t="shared" si="1"/>
        <v/>
      </c>
      <c r="D19" t="str">
        <f t="shared" si="2"/>
        <v>SLFOVN</v>
      </c>
      <c r="E19" t="str">
        <f t="shared" si="3"/>
        <v/>
      </c>
      <c r="G19" t="s">
        <v>473</v>
      </c>
      <c r="H19" t="str">
        <f t="shared" si="4"/>
        <v>SLFOVN</v>
      </c>
      <c r="I19" t="str">
        <f t="shared" si="5"/>
        <v/>
      </c>
      <c r="J19" t="str">
        <f t="shared" si="6"/>
        <v>SLFOVN</v>
      </c>
      <c r="K19" t="str">
        <f t="shared" si="7"/>
        <v/>
      </c>
      <c r="M19" t="s">
        <v>473</v>
      </c>
      <c r="N19" t="str">
        <f t="shared" si="8"/>
        <v>SLFOVN</v>
      </c>
      <c r="O19" t="str">
        <f t="shared" si="9"/>
        <v/>
      </c>
      <c r="P19" t="str">
        <f t="shared" si="10"/>
        <v>SLFOVN</v>
      </c>
      <c r="Q19" t="str">
        <f t="shared" si="11"/>
        <v/>
      </c>
      <c r="S19" t="s">
        <v>436</v>
      </c>
      <c r="T19" t="str">
        <f t="shared" si="12"/>
        <v>TNFESI</v>
      </c>
      <c r="U19" t="str">
        <f t="shared" si="13"/>
        <v/>
      </c>
      <c r="V19" t="str">
        <f t="shared" si="14"/>
        <v>TNFESI</v>
      </c>
      <c r="W19" t="str">
        <f t="shared" si="15"/>
        <v/>
      </c>
    </row>
    <row r="20" spans="1:23">
      <c r="A20" t="s">
        <v>474</v>
      </c>
      <c r="B20" t="str">
        <f t="shared" si="0"/>
        <v>SLFDST</v>
      </c>
      <c r="C20" t="str">
        <f t="shared" si="1"/>
        <v/>
      </c>
      <c r="D20" t="str">
        <f t="shared" si="2"/>
        <v>SLFDST</v>
      </c>
      <c r="E20" t="str">
        <f t="shared" si="3"/>
        <v/>
      </c>
      <c r="G20" t="s">
        <v>474</v>
      </c>
      <c r="H20" t="str">
        <f t="shared" si="4"/>
        <v>SLFDST</v>
      </c>
      <c r="I20" t="str">
        <f t="shared" si="5"/>
        <v/>
      </c>
      <c r="J20" t="str">
        <f t="shared" si="6"/>
        <v>SLFDST</v>
      </c>
      <c r="K20" t="str">
        <f t="shared" si="7"/>
        <v/>
      </c>
      <c r="M20" t="s">
        <v>474</v>
      </c>
      <c r="N20" t="str">
        <f t="shared" si="8"/>
        <v>SLFDST</v>
      </c>
      <c r="O20" t="str">
        <f t="shared" si="9"/>
        <v/>
      </c>
      <c r="P20" t="str">
        <f t="shared" si="10"/>
        <v>SLFDST</v>
      </c>
      <c r="Q20" t="str">
        <f t="shared" si="11"/>
        <v/>
      </c>
      <c r="S20" t="s">
        <v>437</v>
      </c>
      <c r="T20" t="str">
        <f t="shared" si="12"/>
        <v>TNFZIP</v>
      </c>
      <c r="U20" t="str">
        <f t="shared" si="13"/>
        <v/>
      </c>
      <c r="V20" t="str">
        <f t="shared" si="14"/>
        <v>TNFZIP</v>
      </c>
      <c r="W20" t="str">
        <f t="shared" si="15"/>
        <v/>
      </c>
    </row>
    <row r="21" spans="1:23">
      <c r="A21" t="s">
        <v>475</v>
      </c>
      <c r="B21" t="str">
        <f t="shared" si="0"/>
        <v>SLFDSA</v>
      </c>
      <c r="C21" t="str">
        <f t="shared" si="1"/>
        <v>000000000</v>
      </c>
      <c r="D21" t="str">
        <f t="shared" si="2"/>
        <v>SLFDSA</v>
      </c>
      <c r="E21" t="str">
        <f t="shared" si="3"/>
        <v>000000000</v>
      </c>
      <c r="G21" t="s">
        <v>475</v>
      </c>
      <c r="H21" t="str">
        <f t="shared" si="4"/>
        <v>SLFDSA</v>
      </c>
      <c r="I21" t="str">
        <f t="shared" si="5"/>
        <v>000000000</v>
      </c>
      <c r="J21" t="str">
        <f t="shared" si="6"/>
        <v>SLFDSA</v>
      </c>
      <c r="K21" t="str">
        <f t="shared" si="7"/>
        <v>000000000</v>
      </c>
      <c r="M21" t="s">
        <v>475</v>
      </c>
      <c r="N21" t="str">
        <f t="shared" si="8"/>
        <v>SLFDSA</v>
      </c>
      <c r="O21" t="str">
        <f t="shared" si="9"/>
        <v>000000000</v>
      </c>
      <c r="P21" t="str">
        <f t="shared" si="10"/>
        <v>SLFDSA</v>
      </c>
      <c r="Q21" t="str">
        <f t="shared" si="11"/>
        <v>000000000</v>
      </c>
      <c r="S21" t="s">
        <v>438</v>
      </c>
      <c r="T21" t="str">
        <f t="shared" si="12"/>
        <v>TNFMSR</v>
      </c>
      <c r="U21" t="str">
        <f t="shared" si="13"/>
        <v>S</v>
      </c>
      <c r="V21" t="str">
        <f t="shared" si="14"/>
        <v>TNFMSR</v>
      </c>
      <c r="W21" t="str">
        <f t="shared" si="15"/>
        <v>S</v>
      </c>
    </row>
    <row r="22" spans="1:23">
      <c r="A22" t="s">
        <v>476</v>
      </c>
      <c r="B22" t="str">
        <f t="shared" si="0"/>
        <v>SLFDSN</v>
      </c>
      <c r="C22" t="str">
        <f t="shared" si="1"/>
        <v/>
      </c>
      <c r="D22" t="str">
        <f t="shared" si="2"/>
        <v>SLFDSN</v>
      </c>
      <c r="E22" t="str">
        <f t="shared" si="3"/>
        <v/>
      </c>
      <c r="G22" t="s">
        <v>476</v>
      </c>
      <c r="H22" t="str">
        <f t="shared" si="4"/>
        <v>SLFDSN</v>
      </c>
      <c r="I22" t="str">
        <f t="shared" si="5"/>
        <v/>
      </c>
      <c r="J22" t="str">
        <f t="shared" si="6"/>
        <v>SLFDSN</v>
      </c>
      <c r="K22" t="str">
        <f t="shared" si="7"/>
        <v/>
      </c>
      <c r="M22" t="s">
        <v>476</v>
      </c>
      <c r="N22" t="str">
        <f t="shared" si="8"/>
        <v>SLFDSN</v>
      </c>
      <c r="O22" t="str">
        <f t="shared" si="9"/>
        <v/>
      </c>
      <c r="P22" t="str">
        <f t="shared" si="10"/>
        <v>SLFDSN</v>
      </c>
      <c r="Q22" t="str">
        <f t="shared" si="11"/>
        <v/>
      </c>
      <c r="S22" t="s">
        <v>439</v>
      </c>
      <c r="T22" t="str">
        <f t="shared" si="12"/>
        <v>TNFEML</v>
      </c>
      <c r="U22" t="str">
        <f t="shared" si="13"/>
        <v/>
      </c>
      <c r="V22" t="str">
        <f t="shared" si="14"/>
        <v>TNFEML</v>
      </c>
      <c r="W22" t="str">
        <f t="shared" si="15"/>
        <v/>
      </c>
    </row>
    <row r="23" spans="1:23">
      <c r="A23" t="s">
        <v>605</v>
      </c>
      <c r="B23" t="str">
        <f t="shared" si="0"/>
        <v>SLFSEL</v>
      </c>
      <c r="C23" t="str">
        <f t="shared" si="1"/>
        <v>000000083</v>
      </c>
      <c r="D23" t="str">
        <f t="shared" si="2"/>
        <v>SLFSEL</v>
      </c>
      <c r="E23" t="str">
        <f t="shared" si="3"/>
        <v>000000083</v>
      </c>
      <c r="G23" t="s">
        <v>614</v>
      </c>
      <c r="H23" t="str">
        <f t="shared" si="4"/>
        <v>SLFSEL</v>
      </c>
      <c r="I23" t="str">
        <f t="shared" si="5"/>
        <v>000001936</v>
      </c>
      <c r="J23" t="str">
        <f t="shared" si="6"/>
        <v>SLFSEL</v>
      </c>
      <c r="K23" t="str">
        <f t="shared" si="7"/>
        <v>000001936</v>
      </c>
      <c r="M23" t="s">
        <v>611</v>
      </c>
      <c r="N23" t="str">
        <f t="shared" si="8"/>
        <v>SLFSEL</v>
      </c>
      <c r="O23" t="str">
        <f t="shared" si="9"/>
        <v>000013900</v>
      </c>
      <c r="P23" t="str">
        <f t="shared" si="10"/>
        <v>SLFSEL</v>
      </c>
      <c r="Q23" t="str">
        <f t="shared" si="11"/>
        <v>000013900</v>
      </c>
      <c r="S23" t="s">
        <v>440</v>
      </c>
      <c r="T23" t="str">
        <f t="shared" si="12"/>
        <v>TNFHSH</v>
      </c>
      <c r="U23" t="str">
        <f t="shared" si="13"/>
        <v/>
      </c>
      <c r="V23" t="str">
        <f t="shared" si="14"/>
        <v>TNFHSH</v>
      </c>
      <c r="W23" t="str">
        <f t="shared" si="15"/>
        <v/>
      </c>
    </row>
    <row r="24" spans="1:23">
      <c r="A24" t="s">
        <v>479</v>
      </c>
      <c r="B24" t="str">
        <f t="shared" si="0"/>
        <v>SLFSLN</v>
      </c>
      <c r="C24" t="str">
        <f t="shared" si="1"/>
        <v/>
      </c>
      <c r="D24" t="str">
        <f t="shared" si="2"/>
        <v>SLFSLN</v>
      </c>
      <c r="E24" t="str">
        <f t="shared" si="3"/>
        <v/>
      </c>
      <c r="G24" t="s">
        <v>479</v>
      </c>
      <c r="H24" t="str">
        <f t="shared" si="4"/>
        <v>SLFSLN</v>
      </c>
      <c r="I24" t="str">
        <f t="shared" si="5"/>
        <v/>
      </c>
      <c r="J24" t="str">
        <f t="shared" si="6"/>
        <v>SLFSLN</v>
      </c>
      <c r="K24" t="str">
        <f t="shared" si="7"/>
        <v/>
      </c>
      <c r="M24" t="s">
        <v>479</v>
      </c>
      <c r="N24" t="str">
        <f t="shared" si="8"/>
        <v>SLFSLN</v>
      </c>
      <c r="O24" t="str">
        <f t="shared" si="9"/>
        <v/>
      </c>
      <c r="P24" t="str">
        <f t="shared" si="10"/>
        <v>SLFSLN</v>
      </c>
      <c r="Q24" t="str">
        <f t="shared" si="11"/>
        <v/>
      </c>
      <c r="S24" t="s">
        <v>441</v>
      </c>
      <c r="T24" t="str">
        <f t="shared" si="12"/>
        <v>TNFPLC</v>
      </c>
      <c r="U24" t="str">
        <f t="shared" si="13"/>
        <v>55010</v>
      </c>
      <c r="V24" t="str">
        <f t="shared" si="14"/>
        <v>TNFPLC</v>
      </c>
      <c r="W24" t="str">
        <f t="shared" si="15"/>
        <v>55010</v>
      </c>
    </row>
    <row r="25" spans="1:23">
      <c r="A25" t="s">
        <v>606</v>
      </c>
      <c r="B25" t="str">
        <f t="shared" si="0"/>
        <v>SLFEXT</v>
      </c>
      <c r="C25" t="str">
        <f t="shared" si="1"/>
        <v>00000000996</v>
      </c>
      <c r="D25" t="str">
        <f t="shared" si="2"/>
        <v>SLFEXT</v>
      </c>
      <c r="E25" t="str">
        <f t="shared" si="3"/>
        <v>00000000996</v>
      </c>
      <c r="G25" t="s">
        <v>615</v>
      </c>
      <c r="H25" t="str">
        <f t="shared" si="4"/>
        <v>SLFEXT</v>
      </c>
      <c r="I25" t="str">
        <f t="shared" si="5"/>
        <v>00000001936</v>
      </c>
      <c r="J25" t="str">
        <f t="shared" si="6"/>
        <v>SLFEXT</v>
      </c>
      <c r="K25" t="str">
        <f t="shared" si="7"/>
        <v>00000001936</v>
      </c>
      <c r="M25" t="s">
        <v>612</v>
      </c>
      <c r="N25" t="str">
        <f t="shared" si="8"/>
        <v>SLFEXT</v>
      </c>
      <c r="O25" t="str">
        <f t="shared" si="9"/>
        <v>00000013900</v>
      </c>
      <c r="P25" t="str">
        <f t="shared" si="10"/>
        <v>SLFEXT</v>
      </c>
      <c r="Q25" t="str">
        <f t="shared" si="11"/>
        <v>00000013900</v>
      </c>
      <c r="S25" t="s">
        <v>442</v>
      </c>
      <c r="T25" t="str">
        <f t="shared" si="12"/>
        <v>TNFPCN</v>
      </c>
      <c r="U25" t="str">
        <f t="shared" si="13"/>
        <v>1</v>
      </c>
      <c r="V25" t="str">
        <f t="shared" si="14"/>
        <v>TNFPCN</v>
      </c>
      <c r="W25" t="str">
        <f t="shared" si="15"/>
        <v>1</v>
      </c>
    </row>
    <row r="26" spans="1:23">
      <c r="A26" t="s">
        <v>482</v>
      </c>
      <c r="B26" t="str">
        <f t="shared" si="0"/>
        <v>SLFEXN</v>
      </c>
      <c r="C26" t="str">
        <f t="shared" si="1"/>
        <v/>
      </c>
      <c r="D26" t="str">
        <f t="shared" si="2"/>
        <v>SLFEXN</v>
      </c>
      <c r="E26" t="str">
        <f t="shared" si="3"/>
        <v/>
      </c>
      <c r="G26" t="s">
        <v>482</v>
      </c>
      <c r="H26" t="str">
        <f t="shared" si="4"/>
        <v>SLFEXN</v>
      </c>
      <c r="I26" t="str">
        <f t="shared" si="5"/>
        <v/>
      </c>
      <c r="J26" t="str">
        <f t="shared" si="6"/>
        <v>SLFEXN</v>
      </c>
      <c r="K26" t="str">
        <f t="shared" si="7"/>
        <v/>
      </c>
      <c r="M26" t="s">
        <v>482</v>
      </c>
      <c r="N26" t="str">
        <f t="shared" si="8"/>
        <v>SLFEXN</v>
      </c>
      <c r="O26" t="str">
        <f t="shared" si="9"/>
        <v/>
      </c>
      <c r="P26" t="str">
        <f t="shared" si="10"/>
        <v>SLFEXN</v>
      </c>
      <c r="Q26" t="str">
        <f t="shared" si="11"/>
        <v/>
      </c>
      <c r="S26" t="s">
        <v>594</v>
      </c>
      <c r="T26" t="str">
        <f t="shared" si="12"/>
        <v>TNFPDT</v>
      </c>
      <c r="U26" t="str">
        <f t="shared" si="13"/>
        <v>260128</v>
      </c>
      <c r="V26" t="str">
        <f t="shared" si="14"/>
        <v>TNFPDT</v>
      </c>
      <c r="W26" t="str">
        <f t="shared" si="15"/>
        <v>260128</v>
      </c>
    </row>
    <row r="27" spans="1:23">
      <c r="A27" t="s">
        <v>483</v>
      </c>
      <c r="B27" t="str">
        <f t="shared" si="0"/>
        <v>SLFTX1</v>
      </c>
      <c r="C27" t="str">
        <f t="shared" si="1"/>
        <v>N</v>
      </c>
      <c r="D27" t="str">
        <f t="shared" si="2"/>
        <v>SLFTX1</v>
      </c>
      <c r="E27" t="str">
        <f t="shared" si="3"/>
        <v>N</v>
      </c>
      <c r="G27" t="s">
        <v>483</v>
      </c>
      <c r="H27" t="str">
        <f t="shared" si="4"/>
        <v>SLFTX1</v>
      </c>
      <c r="I27" t="str">
        <f t="shared" si="5"/>
        <v>N</v>
      </c>
      <c r="J27" t="str">
        <f t="shared" si="6"/>
        <v>SLFTX1</v>
      </c>
      <c r="K27" t="str">
        <f t="shared" si="7"/>
        <v>N</v>
      </c>
      <c r="M27" t="s">
        <v>483</v>
      </c>
      <c r="N27" t="str">
        <f t="shared" si="8"/>
        <v>SLFTX1</v>
      </c>
      <c r="O27" t="str">
        <f t="shared" si="9"/>
        <v>N</v>
      </c>
      <c r="P27" t="str">
        <f t="shared" si="10"/>
        <v>SLFTX1</v>
      </c>
      <c r="Q27" t="str">
        <f t="shared" si="11"/>
        <v>N</v>
      </c>
      <c r="S27" t="s">
        <v>444</v>
      </c>
      <c r="T27" t="str">
        <f t="shared" si="12"/>
        <v>TNFCCN</v>
      </c>
      <c r="U27" t="str">
        <f t="shared" si="13"/>
        <v>1</v>
      </c>
      <c r="V27" t="str">
        <f t="shared" si="14"/>
        <v>TNFCCN</v>
      </c>
      <c r="W27" t="str">
        <f t="shared" si="15"/>
        <v>1</v>
      </c>
    </row>
    <row r="28" spans="1:23">
      <c r="A28" t="s">
        <v>484</v>
      </c>
      <c r="B28" t="str">
        <f t="shared" si="0"/>
        <v>SLFTX2</v>
      </c>
      <c r="C28" t="str">
        <f t="shared" si="1"/>
        <v>N</v>
      </c>
      <c r="D28" t="str">
        <f t="shared" si="2"/>
        <v>SLFTX2</v>
      </c>
      <c r="E28" t="str">
        <f t="shared" si="3"/>
        <v>N</v>
      </c>
      <c r="G28" t="s">
        <v>484</v>
      </c>
      <c r="H28" t="str">
        <f t="shared" si="4"/>
        <v>SLFTX2</v>
      </c>
      <c r="I28" t="str">
        <f t="shared" si="5"/>
        <v>N</v>
      </c>
      <c r="J28" t="str">
        <f t="shared" si="6"/>
        <v>SLFTX2</v>
      </c>
      <c r="K28" t="str">
        <f t="shared" si="7"/>
        <v>N</v>
      </c>
      <c r="M28" t="s">
        <v>484</v>
      </c>
      <c r="N28" t="str">
        <f t="shared" si="8"/>
        <v>SLFTX2</v>
      </c>
      <c r="O28" t="str">
        <f t="shared" si="9"/>
        <v>N</v>
      </c>
      <c r="P28" t="str">
        <f t="shared" si="10"/>
        <v>SLFTX2</v>
      </c>
      <c r="Q28" t="str">
        <f t="shared" si="11"/>
        <v>N</v>
      </c>
      <c r="S28" t="s">
        <v>595</v>
      </c>
      <c r="T28" t="str">
        <f t="shared" si="12"/>
        <v>TNFCDT</v>
      </c>
      <c r="U28" t="str">
        <f t="shared" si="13"/>
        <v>260128</v>
      </c>
      <c r="V28" t="str">
        <f t="shared" si="14"/>
        <v>TNFCDT</v>
      </c>
      <c r="W28" t="str">
        <f t="shared" si="15"/>
        <v>260128</v>
      </c>
    </row>
    <row r="29" spans="1:23">
      <c r="A29" t="s">
        <v>485</v>
      </c>
      <c r="B29" t="str">
        <f t="shared" si="0"/>
        <v>SLFTX3</v>
      </c>
      <c r="C29" t="str">
        <f t="shared" si="1"/>
        <v>Y</v>
      </c>
      <c r="D29" t="str">
        <f t="shared" si="2"/>
        <v>SLFTX3</v>
      </c>
      <c r="E29" t="str">
        <f t="shared" si="3"/>
        <v>Y</v>
      </c>
      <c r="G29" t="s">
        <v>574</v>
      </c>
      <c r="H29" t="str">
        <f t="shared" si="4"/>
        <v>SLFTX3</v>
      </c>
      <c r="I29" t="str">
        <f t="shared" si="5"/>
        <v>N</v>
      </c>
      <c r="J29" t="str">
        <f t="shared" si="6"/>
        <v>SLFTX3</v>
      </c>
      <c r="K29" t="str">
        <f t="shared" si="7"/>
        <v>N</v>
      </c>
      <c r="M29" t="s">
        <v>485</v>
      </c>
      <c r="N29" t="str">
        <f t="shared" si="8"/>
        <v>SLFTX3</v>
      </c>
      <c r="O29" t="str">
        <f t="shared" si="9"/>
        <v>Y</v>
      </c>
      <c r="P29" t="str">
        <f t="shared" si="10"/>
        <v>SLFTX3</v>
      </c>
      <c r="Q29" t="str">
        <f t="shared" si="11"/>
        <v>Y</v>
      </c>
      <c r="S29" t="s">
        <v>622</v>
      </c>
      <c r="T29" t="str">
        <f t="shared" si="12"/>
        <v>TNFCTM</v>
      </c>
      <c r="U29" t="str">
        <f t="shared" si="13"/>
        <v>144416</v>
      </c>
      <c r="V29" t="str">
        <f t="shared" si="14"/>
        <v>TNFCTM</v>
      </c>
      <c r="W29" t="str">
        <f t="shared" si="15"/>
        <v>144416</v>
      </c>
    </row>
    <row r="30" spans="1:23">
      <c r="A30" t="s">
        <v>486</v>
      </c>
      <c r="B30" t="str">
        <f t="shared" si="0"/>
        <v>SLFTX4</v>
      </c>
      <c r="C30" t="str">
        <f t="shared" si="1"/>
        <v>N</v>
      </c>
      <c r="D30" t="str">
        <f t="shared" si="2"/>
        <v>SLFTX4</v>
      </c>
      <c r="E30" t="str">
        <f t="shared" si="3"/>
        <v>N</v>
      </c>
      <c r="G30" t="s">
        <v>486</v>
      </c>
      <c r="H30" t="str">
        <f t="shared" si="4"/>
        <v>SLFTX4</v>
      </c>
      <c r="I30" t="str">
        <f t="shared" si="5"/>
        <v>N</v>
      </c>
      <c r="J30" t="str">
        <f t="shared" si="6"/>
        <v>SLFTX4</v>
      </c>
      <c r="K30" t="str">
        <f t="shared" si="7"/>
        <v>N</v>
      </c>
      <c r="M30" t="s">
        <v>486</v>
      </c>
      <c r="N30" t="str">
        <f t="shared" si="8"/>
        <v>SLFTX4</v>
      </c>
      <c r="O30" t="str">
        <f t="shared" si="9"/>
        <v>N</v>
      </c>
      <c r="P30" t="str">
        <f t="shared" si="10"/>
        <v>SLFTX4</v>
      </c>
      <c r="Q30" t="str">
        <f t="shared" si="11"/>
        <v>N</v>
      </c>
      <c r="S30" t="s">
        <v>447</v>
      </c>
      <c r="T30" t="str">
        <f t="shared" si="12"/>
        <v>ATFSST</v>
      </c>
      <c r="U30" t="str">
        <f t="shared" si="13"/>
        <v>0</v>
      </c>
      <c r="V30" t="str">
        <f t="shared" si="14"/>
        <v>ATFSST</v>
      </c>
      <c r="W30" t="str">
        <f t="shared" si="15"/>
        <v>0</v>
      </c>
    </row>
    <row r="31" spans="1:23">
      <c r="A31" t="s">
        <v>487</v>
      </c>
      <c r="B31" t="str">
        <f t="shared" si="0"/>
        <v>SLFRFC</v>
      </c>
      <c r="C31" t="str">
        <f t="shared" si="1"/>
        <v/>
      </c>
      <c r="D31" t="str">
        <f t="shared" si="2"/>
        <v>SLFRFC</v>
      </c>
      <c r="E31" t="str">
        <f t="shared" si="3"/>
        <v/>
      </c>
      <c r="G31" t="s">
        <v>487</v>
      </c>
      <c r="H31" t="str">
        <f t="shared" si="4"/>
        <v>SLFRFC</v>
      </c>
      <c r="I31" t="str">
        <f t="shared" si="5"/>
        <v/>
      </c>
      <c r="J31" t="str">
        <f t="shared" si="6"/>
        <v>SLFRFC</v>
      </c>
      <c r="K31" t="str">
        <f t="shared" si="7"/>
        <v/>
      </c>
      <c r="M31" t="s">
        <v>487</v>
      </c>
      <c r="N31" t="str">
        <f t="shared" si="8"/>
        <v>SLFRFC</v>
      </c>
      <c r="O31" t="str">
        <f t="shared" si="9"/>
        <v/>
      </c>
      <c r="P31" t="str">
        <f t="shared" si="10"/>
        <v>SLFRFC</v>
      </c>
      <c r="Q31" t="str">
        <f t="shared" si="11"/>
        <v/>
      </c>
      <c r="S31" t="s">
        <v>448</v>
      </c>
      <c r="T31" t="str">
        <f t="shared" si="12"/>
        <v>ATFIST</v>
      </c>
      <c r="U31" t="str">
        <f t="shared" si="13"/>
        <v>0</v>
      </c>
      <c r="V31" t="str">
        <f t="shared" si="14"/>
        <v>ATFIST</v>
      </c>
      <c r="W31" t="str">
        <f t="shared" si="15"/>
        <v>0</v>
      </c>
    </row>
    <row r="32" spans="1:23">
      <c r="A32" t="s">
        <v>488</v>
      </c>
      <c r="B32" t="str">
        <f t="shared" si="0"/>
        <v>SLFRFD</v>
      </c>
      <c r="C32" t="str">
        <f t="shared" si="1"/>
        <v/>
      </c>
      <c r="D32" t="str">
        <f t="shared" si="2"/>
        <v>SLFRFD</v>
      </c>
      <c r="E32" t="str">
        <f t="shared" si="3"/>
        <v/>
      </c>
      <c r="G32" t="s">
        <v>488</v>
      </c>
      <c r="H32" t="str">
        <f t="shared" si="4"/>
        <v>SLFRFD</v>
      </c>
      <c r="I32" t="str">
        <f t="shared" si="5"/>
        <v/>
      </c>
      <c r="J32" t="str">
        <f t="shared" si="6"/>
        <v>SLFRFD</v>
      </c>
      <c r="K32" t="str">
        <f t="shared" si="7"/>
        <v/>
      </c>
      <c r="M32" t="s">
        <v>488</v>
      </c>
      <c r="N32" t="str">
        <f t="shared" si="8"/>
        <v>SLFRFD</v>
      </c>
      <c r="O32" t="str">
        <f t="shared" si="9"/>
        <v/>
      </c>
      <c r="P32" t="str">
        <f t="shared" si="10"/>
        <v>SLFRFD</v>
      </c>
      <c r="Q32" t="str">
        <f t="shared" si="11"/>
        <v/>
      </c>
      <c r="S32" t="s">
        <v>449</v>
      </c>
      <c r="T32" t="str">
        <f t="shared" si="12"/>
        <v>ATFOTX</v>
      </c>
      <c r="U32" t="str">
        <f t="shared" si="13"/>
        <v/>
      </c>
      <c r="V32" t="str">
        <f t="shared" si="14"/>
        <v>ATFOTX</v>
      </c>
      <c r="W32" t="str">
        <f t="shared" si="15"/>
        <v/>
      </c>
    </row>
    <row r="33" spans="1:23">
      <c r="A33" t="s">
        <v>489</v>
      </c>
      <c r="B33" t="str">
        <f t="shared" si="0"/>
        <v>SLFUPC</v>
      </c>
      <c r="C33" t="str">
        <f t="shared" si="1"/>
        <v>0000000000000</v>
      </c>
      <c r="D33" t="str">
        <f t="shared" si="2"/>
        <v>SLFUPC</v>
      </c>
      <c r="E33" t="str">
        <f t="shared" si="3"/>
        <v>0000000000000</v>
      </c>
      <c r="G33" t="s">
        <v>489</v>
      </c>
      <c r="H33" t="str">
        <f t="shared" si="4"/>
        <v>SLFUPC</v>
      </c>
      <c r="I33" t="str">
        <f t="shared" si="5"/>
        <v>0000000000000</v>
      </c>
      <c r="J33" t="str">
        <f t="shared" si="6"/>
        <v>SLFUPC</v>
      </c>
      <c r="K33" t="str">
        <f t="shared" si="7"/>
        <v>0000000000000</v>
      </c>
      <c r="M33" t="s">
        <v>489</v>
      </c>
      <c r="N33" t="str">
        <f t="shared" si="8"/>
        <v>SLFUPC</v>
      </c>
      <c r="O33" t="str">
        <f t="shared" si="9"/>
        <v>0000000000000</v>
      </c>
      <c r="P33" t="str">
        <f t="shared" si="10"/>
        <v>SLFUPC</v>
      </c>
      <c r="Q33" t="str">
        <f t="shared" si="11"/>
        <v>0000000000000</v>
      </c>
      <c r="S33" t="s">
        <v>450</v>
      </c>
      <c r="T33" t="str">
        <f t="shared" si="12"/>
        <v>ATFMBT</v>
      </c>
      <c r="U33" t="str">
        <f t="shared" si="13"/>
        <v/>
      </c>
      <c r="V33" t="str">
        <f t="shared" si="14"/>
        <v>ATFMBT</v>
      </c>
      <c r="W33" t="str">
        <f t="shared" si="15"/>
        <v/>
      </c>
    </row>
    <row r="34" spans="1:23">
      <c r="A34" t="s">
        <v>490</v>
      </c>
      <c r="B34" t="str">
        <f t="shared" si="0"/>
        <v>SLFSPS</v>
      </c>
      <c r="C34" t="str">
        <f t="shared" si="1"/>
        <v>00085</v>
      </c>
      <c r="D34" t="str">
        <f t="shared" si="2"/>
        <v>SLFSPS</v>
      </c>
      <c r="E34" t="str">
        <f t="shared" si="3"/>
        <v>00085</v>
      </c>
      <c r="G34" t="s">
        <v>490</v>
      </c>
      <c r="H34" t="str">
        <f t="shared" si="4"/>
        <v>SLFSPS</v>
      </c>
      <c r="I34" t="str">
        <f t="shared" si="5"/>
        <v>00085</v>
      </c>
      <c r="J34" t="str">
        <f t="shared" si="6"/>
        <v>SLFSPS</v>
      </c>
      <c r="K34" t="str">
        <f t="shared" si="7"/>
        <v>00085</v>
      </c>
      <c r="M34" t="s">
        <v>490</v>
      </c>
      <c r="N34" t="str">
        <f t="shared" si="8"/>
        <v>SLFSPS</v>
      </c>
      <c r="O34" t="str">
        <f t="shared" si="9"/>
        <v>00085</v>
      </c>
      <c r="P34" t="str">
        <f t="shared" si="10"/>
        <v>SLFSPS</v>
      </c>
      <c r="Q34" t="str">
        <f t="shared" si="11"/>
        <v>00085</v>
      </c>
      <c r="S34" t="s">
        <v>451</v>
      </c>
      <c r="T34" t="str">
        <f t="shared" si="12"/>
        <v>ATFORD</v>
      </c>
      <c r="U34" t="str">
        <f t="shared" si="13"/>
        <v/>
      </c>
      <c r="V34" t="str">
        <f t="shared" si="14"/>
        <v>ATFORD</v>
      </c>
      <c r="W34" t="str">
        <f t="shared" si="15"/>
        <v/>
      </c>
    </row>
    <row r="35" spans="1:23">
      <c r="A35" t="s">
        <v>491</v>
      </c>
      <c r="B35" t="str">
        <f t="shared" si="0"/>
        <v>SLFSTS</v>
      </c>
      <c r="C35" t="str">
        <f t="shared" si="1"/>
        <v/>
      </c>
      <c r="D35" t="str">
        <f t="shared" si="2"/>
        <v>SLFSTS</v>
      </c>
      <c r="E35" t="str">
        <f t="shared" si="3"/>
        <v/>
      </c>
      <c r="G35" t="s">
        <v>491</v>
      </c>
      <c r="H35" t="str">
        <f t="shared" si="4"/>
        <v>SLFSTS</v>
      </c>
      <c r="I35" t="str">
        <f t="shared" si="5"/>
        <v/>
      </c>
      <c r="J35" t="str">
        <f t="shared" si="6"/>
        <v>SLFSTS</v>
      </c>
      <c r="K35" t="str">
        <f t="shared" si="7"/>
        <v/>
      </c>
      <c r="M35" t="s">
        <v>491</v>
      </c>
      <c r="N35" t="str">
        <f t="shared" si="8"/>
        <v>SLFSTS</v>
      </c>
      <c r="O35" t="str">
        <f t="shared" si="9"/>
        <v/>
      </c>
      <c r="P35" t="str">
        <f t="shared" si="10"/>
        <v>SLFSTS</v>
      </c>
      <c r="Q35" t="str">
        <f t="shared" si="11"/>
        <v/>
      </c>
      <c r="S35" t="s">
        <v>452</v>
      </c>
      <c r="T35" t="str">
        <f t="shared" si="12"/>
        <v>ATFPRO</v>
      </c>
      <c r="U35" t="str">
        <f t="shared" si="13"/>
        <v/>
      </c>
      <c r="V35" t="str">
        <f t="shared" si="14"/>
        <v>ATFPRO</v>
      </c>
      <c r="W35" t="str">
        <f t="shared" si="15"/>
        <v/>
      </c>
    </row>
    <row r="36" spans="1:23">
      <c r="A36" t="s">
        <v>492</v>
      </c>
      <c r="B36" t="str">
        <f t="shared" si="0"/>
        <v>SLFZIP</v>
      </c>
      <c r="C36" t="str">
        <f t="shared" si="1"/>
        <v/>
      </c>
      <c r="D36" t="str">
        <f t="shared" si="2"/>
        <v>SLFZIP</v>
      </c>
      <c r="E36" t="str">
        <f t="shared" si="3"/>
        <v/>
      </c>
      <c r="G36" t="s">
        <v>492</v>
      </c>
      <c r="H36" t="str">
        <f t="shared" si="4"/>
        <v>SLFZIP</v>
      </c>
      <c r="I36" t="str">
        <f t="shared" si="5"/>
        <v/>
      </c>
      <c r="J36" t="str">
        <f t="shared" si="6"/>
        <v>SLFZIP</v>
      </c>
      <c r="K36" t="str">
        <f t="shared" si="7"/>
        <v/>
      </c>
      <c r="M36" t="s">
        <v>492</v>
      </c>
      <c r="N36" t="str">
        <f t="shared" si="8"/>
        <v>SLFZIP</v>
      </c>
      <c r="O36" t="str">
        <f t="shared" si="9"/>
        <v/>
      </c>
      <c r="P36" t="str">
        <f t="shared" si="10"/>
        <v>SLFZIP</v>
      </c>
      <c r="Q36" t="str">
        <f t="shared" si="11"/>
        <v/>
      </c>
    </row>
    <row r="37" spans="1:23">
      <c r="A37" t="s">
        <v>493</v>
      </c>
      <c r="B37" t="str">
        <f t="shared" si="0"/>
        <v>SLFCNM</v>
      </c>
      <c r="C37" t="str">
        <f t="shared" si="1"/>
        <v/>
      </c>
      <c r="D37" t="str">
        <f t="shared" si="2"/>
        <v>SLFCNM</v>
      </c>
      <c r="E37" t="str">
        <f t="shared" si="3"/>
        <v/>
      </c>
      <c r="G37" t="s">
        <v>493</v>
      </c>
      <c r="H37" t="str">
        <f t="shared" si="4"/>
        <v>SLFCNM</v>
      </c>
      <c r="I37" t="str">
        <f t="shared" si="5"/>
        <v/>
      </c>
      <c r="J37" t="str">
        <f t="shared" si="6"/>
        <v>SLFCNM</v>
      </c>
      <c r="K37" t="str">
        <f t="shared" si="7"/>
        <v/>
      </c>
      <c r="M37" t="s">
        <v>493</v>
      </c>
      <c r="N37" t="str">
        <f t="shared" si="8"/>
        <v>SLFCNM</v>
      </c>
      <c r="O37" t="str">
        <f t="shared" si="9"/>
        <v/>
      </c>
      <c r="P37" t="str">
        <f t="shared" si="10"/>
        <v>SLFCNM</v>
      </c>
      <c r="Q37" t="str">
        <f t="shared" si="11"/>
        <v/>
      </c>
    </row>
    <row r="38" spans="1:23">
      <c r="A38" t="s">
        <v>494</v>
      </c>
      <c r="B38" t="str">
        <f t="shared" si="0"/>
        <v>SLFNUM</v>
      </c>
      <c r="C38" t="str">
        <f t="shared" si="1"/>
        <v/>
      </c>
      <c r="D38" t="str">
        <f t="shared" si="2"/>
        <v>SLFNUM</v>
      </c>
      <c r="E38" t="str">
        <f t="shared" si="3"/>
        <v/>
      </c>
      <c r="G38" t="s">
        <v>494</v>
      </c>
      <c r="H38" t="str">
        <f t="shared" si="4"/>
        <v>SLFNUM</v>
      </c>
      <c r="I38" t="str">
        <f t="shared" si="5"/>
        <v/>
      </c>
      <c r="J38" t="str">
        <f t="shared" si="6"/>
        <v>SLFNUM</v>
      </c>
      <c r="K38" t="str">
        <f t="shared" si="7"/>
        <v/>
      </c>
      <c r="M38" t="s">
        <v>494</v>
      </c>
      <c r="N38" t="str">
        <f t="shared" si="8"/>
        <v>SLFNUM</v>
      </c>
      <c r="O38" t="str">
        <f t="shared" si="9"/>
        <v/>
      </c>
      <c r="P38" t="str">
        <f t="shared" si="10"/>
        <v>SLFNUM</v>
      </c>
      <c r="Q38" t="str">
        <f t="shared" si="11"/>
        <v/>
      </c>
    </row>
    <row r="39" spans="1:23">
      <c r="A39" t="s">
        <v>495</v>
      </c>
      <c r="B39" t="str">
        <f t="shared" si="0"/>
        <v>SLFRSN</v>
      </c>
      <c r="C39" t="str">
        <f t="shared" si="1"/>
        <v/>
      </c>
      <c r="D39" t="str">
        <f t="shared" si="2"/>
        <v>SLFRSN</v>
      </c>
      <c r="E39" t="str">
        <f t="shared" si="3"/>
        <v/>
      </c>
      <c r="G39" t="s">
        <v>495</v>
      </c>
      <c r="H39" t="str">
        <f t="shared" si="4"/>
        <v>SLFRSN</v>
      </c>
      <c r="I39" t="str">
        <f t="shared" si="5"/>
        <v/>
      </c>
      <c r="J39" t="str">
        <f t="shared" si="6"/>
        <v>SLFRSN</v>
      </c>
      <c r="K39" t="str">
        <f t="shared" si="7"/>
        <v/>
      </c>
      <c r="M39" t="s">
        <v>495</v>
      </c>
      <c r="N39" t="str">
        <f t="shared" si="8"/>
        <v>SLFRSN</v>
      </c>
      <c r="O39" t="str">
        <f t="shared" si="9"/>
        <v/>
      </c>
      <c r="P39" t="str">
        <f t="shared" si="10"/>
        <v>SLFRSN</v>
      </c>
      <c r="Q39" t="str">
        <f t="shared" si="11"/>
        <v/>
      </c>
    </row>
    <row r="40" spans="1:23">
      <c r="A40" t="s">
        <v>496</v>
      </c>
      <c r="B40" t="str">
        <f t="shared" si="0"/>
        <v>SLFOSP</v>
      </c>
      <c r="C40" t="str">
        <f t="shared" si="1"/>
        <v>00000</v>
      </c>
      <c r="D40" t="str">
        <f t="shared" si="2"/>
        <v>SLFOSP</v>
      </c>
      <c r="E40" t="str">
        <f t="shared" si="3"/>
        <v>00000</v>
      </c>
      <c r="G40" t="s">
        <v>496</v>
      </c>
      <c r="H40" t="str">
        <f t="shared" si="4"/>
        <v>SLFOSP</v>
      </c>
      <c r="I40" t="str">
        <f t="shared" si="5"/>
        <v>00000</v>
      </c>
      <c r="J40" t="str">
        <f t="shared" si="6"/>
        <v>SLFOSP</v>
      </c>
      <c r="K40" t="str">
        <f t="shared" si="7"/>
        <v>00000</v>
      </c>
      <c r="M40" t="s">
        <v>496</v>
      </c>
      <c r="N40" t="str">
        <f t="shared" si="8"/>
        <v>SLFOSP</v>
      </c>
      <c r="O40" t="str">
        <f t="shared" si="9"/>
        <v>00000</v>
      </c>
      <c r="P40" t="str">
        <f t="shared" si="10"/>
        <v>SLFOSP</v>
      </c>
      <c r="Q40" t="str">
        <f t="shared" si="11"/>
        <v>00000</v>
      </c>
    </row>
    <row r="41" spans="1:23">
      <c r="A41" t="s">
        <v>497</v>
      </c>
      <c r="B41" t="str">
        <f t="shared" si="0"/>
        <v>SLFOST</v>
      </c>
      <c r="C41" t="str">
        <f t="shared" si="1"/>
        <v>00000</v>
      </c>
      <c r="D41" t="str">
        <f t="shared" si="2"/>
        <v>SLFOST</v>
      </c>
      <c r="E41" t="str">
        <f t="shared" si="3"/>
        <v>00000</v>
      </c>
      <c r="G41" t="s">
        <v>497</v>
      </c>
      <c r="H41" t="str">
        <f t="shared" si="4"/>
        <v>SLFOST</v>
      </c>
      <c r="I41" t="str">
        <f t="shared" si="5"/>
        <v>00000</v>
      </c>
      <c r="J41" t="str">
        <f t="shared" si="6"/>
        <v>SLFOST</v>
      </c>
      <c r="K41" t="str">
        <f t="shared" si="7"/>
        <v>00000</v>
      </c>
      <c r="M41" t="s">
        <v>497</v>
      </c>
      <c r="N41" t="str">
        <f t="shared" si="8"/>
        <v>SLFOST</v>
      </c>
      <c r="O41" t="str">
        <f t="shared" si="9"/>
        <v>00000</v>
      </c>
      <c r="P41" t="str">
        <f t="shared" si="10"/>
        <v>SLFOST</v>
      </c>
      <c r="Q41" t="str">
        <f t="shared" si="11"/>
        <v>00000</v>
      </c>
    </row>
    <row r="42" spans="1:23">
      <c r="A42" t="s">
        <v>498</v>
      </c>
      <c r="B42" t="str">
        <f t="shared" si="0"/>
        <v>SLFGDA</v>
      </c>
      <c r="C42" t="str">
        <f t="shared" si="1"/>
        <v>000000000</v>
      </c>
      <c r="D42" t="str">
        <f t="shared" si="2"/>
        <v>SLFGDA</v>
      </c>
      <c r="E42" t="str">
        <f t="shared" si="3"/>
        <v>000000000</v>
      </c>
      <c r="G42" t="s">
        <v>498</v>
      </c>
      <c r="H42" t="str">
        <f t="shared" si="4"/>
        <v>SLFGDA</v>
      </c>
      <c r="I42" t="str">
        <f t="shared" si="5"/>
        <v>000000000</v>
      </c>
      <c r="J42" t="str">
        <f t="shared" si="6"/>
        <v>SLFGDA</v>
      </c>
      <c r="K42" t="str">
        <f t="shared" si="7"/>
        <v>000000000</v>
      </c>
      <c r="M42" t="s">
        <v>498</v>
      </c>
      <c r="N42" t="str">
        <f t="shared" si="8"/>
        <v>SLFGDA</v>
      </c>
      <c r="O42" t="str">
        <f t="shared" si="9"/>
        <v>000000000</v>
      </c>
      <c r="P42" t="str">
        <f t="shared" si="10"/>
        <v>SLFGDA</v>
      </c>
      <c r="Q42" t="str">
        <f t="shared" si="11"/>
        <v>000000000</v>
      </c>
    </row>
    <row r="43" spans="1:23">
      <c r="A43" t="s">
        <v>499</v>
      </c>
      <c r="B43" t="str">
        <f t="shared" si="0"/>
        <v>SLFGDS</v>
      </c>
      <c r="C43" t="str">
        <f t="shared" si="1"/>
        <v/>
      </c>
      <c r="D43" t="str">
        <f t="shared" si="2"/>
        <v>SLFGDS</v>
      </c>
      <c r="E43" t="str">
        <f t="shared" si="3"/>
        <v/>
      </c>
      <c r="G43" t="s">
        <v>499</v>
      </c>
      <c r="H43" t="str">
        <f t="shared" si="4"/>
        <v>SLFGDS</v>
      </c>
      <c r="I43" t="str">
        <f t="shared" si="5"/>
        <v/>
      </c>
      <c r="J43" t="str">
        <f t="shared" si="6"/>
        <v>SLFGDS</v>
      </c>
      <c r="K43" t="str">
        <f t="shared" si="7"/>
        <v/>
      </c>
      <c r="M43" t="s">
        <v>499</v>
      </c>
      <c r="N43" t="str">
        <f t="shared" si="8"/>
        <v>SLFGDS</v>
      </c>
      <c r="O43" t="str">
        <f t="shared" si="9"/>
        <v/>
      </c>
      <c r="P43" t="str">
        <f t="shared" si="10"/>
        <v>SLFGDS</v>
      </c>
      <c r="Q43" t="str">
        <f t="shared" si="11"/>
        <v/>
      </c>
    </row>
    <row r="44" spans="1:23">
      <c r="A44" t="s">
        <v>500</v>
      </c>
      <c r="B44" t="str">
        <f t="shared" si="0"/>
        <v>SLFGDR</v>
      </c>
      <c r="C44" t="str">
        <f t="shared" si="1"/>
        <v>00</v>
      </c>
      <c r="D44" t="str">
        <f t="shared" si="2"/>
        <v>SLFGDR</v>
      </c>
      <c r="E44" t="str">
        <f t="shared" si="3"/>
        <v>00</v>
      </c>
      <c r="G44" t="s">
        <v>500</v>
      </c>
      <c r="H44" t="str">
        <f t="shared" si="4"/>
        <v>SLFGDR</v>
      </c>
      <c r="I44" t="str">
        <f t="shared" si="5"/>
        <v>00</v>
      </c>
      <c r="J44" t="str">
        <f t="shared" si="6"/>
        <v>SLFGDR</v>
      </c>
      <c r="K44" t="str">
        <f t="shared" si="7"/>
        <v>00</v>
      </c>
      <c r="M44" t="s">
        <v>500</v>
      </c>
      <c r="N44" t="str">
        <f t="shared" si="8"/>
        <v>SLFGDR</v>
      </c>
      <c r="O44" t="str">
        <f t="shared" si="9"/>
        <v>00</v>
      </c>
      <c r="P44" t="str">
        <f t="shared" si="10"/>
        <v>SLFGDR</v>
      </c>
      <c r="Q44" t="str">
        <f t="shared" si="11"/>
        <v>00</v>
      </c>
    </row>
    <row r="45" spans="1:23">
      <c r="A45" t="s">
        <v>501</v>
      </c>
      <c r="B45" t="str">
        <f t="shared" si="0"/>
        <v>SLFRDR</v>
      </c>
      <c r="C45" t="str">
        <f t="shared" si="1"/>
        <v>00</v>
      </c>
      <c r="D45" t="str">
        <f t="shared" si="2"/>
        <v>SLFRDR</v>
      </c>
      <c r="E45" t="str">
        <f t="shared" si="3"/>
        <v>00</v>
      </c>
      <c r="G45" t="s">
        <v>501</v>
      </c>
      <c r="H45" t="str">
        <f t="shared" si="4"/>
        <v>SLFRDR</v>
      </c>
      <c r="I45" t="str">
        <f t="shared" si="5"/>
        <v>00</v>
      </c>
      <c r="J45" t="str">
        <f t="shared" si="6"/>
        <v>SLFRDR</v>
      </c>
      <c r="K45" t="str">
        <f t="shared" si="7"/>
        <v>00</v>
      </c>
      <c r="M45" t="s">
        <v>501</v>
      </c>
      <c r="N45" t="str">
        <f t="shared" si="8"/>
        <v>SLFRDR</v>
      </c>
      <c r="O45" t="str">
        <f t="shared" si="9"/>
        <v>00</v>
      </c>
      <c r="P45" t="str">
        <f t="shared" si="10"/>
        <v>SLFRDR</v>
      </c>
      <c r="Q45" t="str">
        <f t="shared" si="11"/>
        <v>00</v>
      </c>
    </row>
    <row r="46" spans="1:23">
      <c r="A46" t="s">
        <v>577</v>
      </c>
      <c r="B46" t="str">
        <f t="shared" si="0"/>
        <v>SLFSCN</v>
      </c>
      <c r="C46" t="str">
        <f t="shared" si="1"/>
        <v>N</v>
      </c>
      <c r="D46" t="str">
        <f t="shared" si="2"/>
        <v>SLFSCN</v>
      </c>
      <c r="E46" t="str">
        <f t="shared" si="3"/>
        <v>N</v>
      </c>
      <c r="G46" t="s">
        <v>577</v>
      </c>
      <c r="H46" t="str">
        <f t="shared" si="4"/>
        <v>SLFSCN</v>
      </c>
      <c r="I46" t="str">
        <f t="shared" si="5"/>
        <v>N</v>
      </c>
      <c r="J46" t="str">
        <f t="shared" si="6"/>
        <v>SLFSCN</v>
      </c>
      <c r="K46" t="str">
        <f t="shared" si="7"/>
        <v>N</v>
      </c>
      <c r="M46" t="s">
        <v>577</v>
      </c>
      <c r="N46" t="str">
        <f t="shared" si="8"/>
        <v>SLFSCN</v>
      </c>
      <c r="O46" t="str">
        <f t="shared" si="9"/>
        <v>N</v>
      </c>
      <c r="P46" t="str">
        <f t="shared" si="10"/>
        <v>SLFSCN</v>
      </c>
      <c r="Q46" t="str">
        <f t="shared" si="11"/>
        <v>N</v>
      </c>
    </row>
    <row r="47" spans="1:23">
      <c r="A47" t="s">
        <v>503</v>
      </c>
      <c r="B47" t="str">
        <f t="shared" si="0"/>
        <v>SLFACD</v>
      </c>
      <c r="C47" t="str">
        <f t="shared" si="1"/>
        <v>ON</v>
      </c>
      <c r="D47" t="str">
        <f t="shared" si="2"/>
        <v>SLFACD</v>
      </c>
      <c r="E47" t="str">
        <f t="shared" si="3"/>
        <v>ON</v>
      </c>
      <c r="G47" t="s">
        <v>578</v>
      </c>
      <c r="H47" t="str">
        <f t="shared" si="4"/>
        <v>SLFACD</v>
      </c>
      <c r="I47" t="str">
        <f t="shared" si="5"/>
        <v>HON</v>
      </c>
      <c r="J47" t="str">
        <f t="shared" si="6"/>
        <v>SLFACD</v>
      </c>
      <c r="K47" t="str">
        <f t="shared" si="7"/>
        <v>HON</v>
      </c>
      <c r="M47" t="s">
        <v>503</v>
      </c>
      <c r="N47" t="str">
        <f t="shared" si="8"/>
        <v>SLFACD</v>
      </c>
      <c r="O47" t="str">
        <f t="shared" si="9"/>
        <v>ON</v>
      </c>
      <c r="P47" t="str">
        <f t="shared" si="10"/>
        <v>SLFACD</v>
      </c>
      <c r="Q47" t="str">
        <f t="shared" si="11"/>
        <v>ON</v>
      </c>
    </row>
    <row r="48" spans="1:23">
      <c r="A48" t="s">
        <v>504</v>
      </c>
      <c r="B48" t="str">
        <f t="shared" si="0"/>
        <v>SLFTCD</v>
      </c>
      <c r="C48" t="str">
        <f t="shared" si="1"/>
        <v/>
      </c>
      <c r="D48" t="str">
        <f t="shared" si="2"/>
        <v>SLFTCD</v>
      </c>
      <c r="E48" t="str">
        <f t="shared" si="3"/>
        <v/>
      </c>
      <c r="G48" t="s">
        <v>596</v>
      </c>
      <c r="H48" t="str">
        <f t="shared" si="4"/>
        <v>SLFTCD</v>
      </c>
      <c r="I48" t="str">
        <f t="shared" si="5"/>
        <v>HST</v>
      </c>
      <c r="J48" t="str">
        <f t="shared" si="6"/>
        <v>SLFTCD</v>
      </c>
      <c r="K48" t="str">
        <f t="shared" si="7"/>
        <v>HST</v>
      </c>
      <c r="M48" t="s">
        <v>504</v>
      </c>
      <c r="N48" t="str">
        <f t="shared" si="8"/>
        <v>SLFTCD</v>
      </c>
      <c r="O48" t="str">
        <f t="shared" si="9"/>
        <v/>
      </c>
      <c r="P48" t="str">
        <f t="shared" si="10"/>
        <v>SLFTCD</v>
      </c>
      <c r="Q48" t="str">
        <f t="shared" si="11"/>
        <v/>
      </c>
    </row>
    <row r="49" spans="1:17">
      <c r="A49" t="s">
        <v>505</v>
      </c>
      <c r="B49" t="str">
        <f t="shared" si="0"/>
        <v>SLFTE1</v>
      </c>
      <c r="C49" t="str">
        <f t="shared" si="1"/>
        <v/>
      </c>
      <c r="D49" t="str">
        <f t="shared" si="2"/>
        <v>SLFTE1</v>
      </c>
      <c r="E49" t="str">
        <f t="shared" si="3"/>
        <v/>
      </c>
      <c r="G49" t="s">
        <v>505</v>
      </c>
      <c r="H49" t="str">
        <f t="shared" si="4"/>
        <v>SLFTE1</v>
      </c>
      <c r="I49" t="str">
        <f t="shared" si="5"/>
        <v/>
      </c>
      <c r="J49" t="str">
        <f t="shared" si="6"/>
        <v>SLFTE1</v>
      </c>
      <c r="K49" t="str">
        <f t="shared" si="7"/>
        <v/>
      </c>
      <c r="M49" t="s">
        <v>505</v>
      </c>
      <c r="N49" t="str">
        <f t="shared" si="8"/>
        <v>SLFTE1</v>
      </c>
      <c r="O49" t="str">
        <f t="shared" si="9"/>
        <v/>
      </c>
      <c r="P49" t="str">
        <f t="shared" si="10"/>
        <v>SLFTE1</v>
      </c>
      <c r="Q49" t="str">
        <f t="shared" si="11"/>
        <v/>
      </c>
    </row>
    <row r="50" spans="1:17">
      <c r="A50" t="s">
        <v>506</v>
      </c>
      <c r="B50" t="str">
        <f t="shared" si="0"/>
        <v>SLFTE2</v>
      </c>
      <c r="C50" t="str">
        <f t="shared" si="1"/>
        <v/>
      </c>
      <c r="D50" t="str">
        <f t="shared" si="2"/>
        <v>SLFTE2</v>
      </c>
      <c r="E50" t="str">
        <f t="shared" si="3"/>
        <v/>
      </c>
      <c r="G50" t="s">
        <v>506</v>
      </c>
      <c r="H50" t="str">
        <f t="shared" si="4"/>
        <v>SLFTE2</v>
      </c>
      <c r="I50" t="str">
        <f t="shared" si="5"/>
        <v/>
      </c>
      <c r="J50" t="str">
        <f t="shared" si="6"/>
        <v>SLFTE2</v>
      </c>
      <c r="K50" t="str">
        <f t="shared" si="7"/>
        <v/>
      </c>
      <c r="M50" t="s">
        <v>506</v>
      </c>
      <c r="N50" t="str">
        <f t="shared" si="8"/>
        <v>SLFTE2</v>
      </c>
      <c r="O50" t="str">
        <f t="shared" si="9"/>
        <v/>
      </c>
      <c r="P50" t="str">
        <f t="shared" si="10"/>
        <v>SLFTE2</v>
      </c>
      <c r="Q50" t="str">
        <f t="shared" si="11"/>
        <v/>
      </c>
    </row>
    <row r="51" spans="1:17">
      <c r="A51" t="s">
        <v>507</v>
      </c>
      <c r="B51" t="str">
        <f t="shared" si="0"/>
        <v>SLFTEN</v>
      </c>
      <c r="C51" t="str">
        <f t="shared" si="1"/>
        <v/>
      </c>
      <c r="D51" t="str">
        <f t="shared" si="2"/>
        <v>SLFTEN</v>
      </c>
      <c r="E51" t="str">
        <f t="shared" si="3"/>
        <v/>
      </c>
      <c r="G51" t="s">
        <v>507</v>
      </c>
      <c r="H51" t="str">
        <f t="shared" si="4"/>
        <v>SLFTEN</v>
      </c>
      <c r="I51" t="str">
        <f t="shared" si="5"/>
        <v/>
      </c>
      <c r="J51" t="str">
        <f t="shared" si="6"/>
        <v>SLFTEN</v>
      </c>
      <c r="K51" t="str">
        <f t="shared" si="7"/>
        <v/>
      </c>
      <c r="M51" t="s">
        <v>507</v>
      </c>
      <c r="N51" t="str">
        <f t="shared" si="8"/>
        <v>SLFTEN</v>
      </c>
      <c r="O51" t="str">
        <f t="shared" si="9"/>
        <v/>
      </c>
      <c r="P51" t="str">
        <f t="shared" si="10"/>
        <v>SLFTEN</v>
      </c>
      <c r="Q51" t="str">
        <f t="shared" si="11"/>
        <v/>
      </c>
    </row>
    <row r="52" spans="1:17">
      <c r="A52" t="s">
        <v>508</v>
      </c>
      <c r="B52" t="str">
        <f t="shared" si="0"/>
        <v>SLFPVC</v>
      </c>
      <c r="C52" t="str">
        <f t="shared" si="1"/>
        <v>REG</v>
      </c>
      <c r="D52" t="str">
        <f t="shared" si="2"/>
        <v>SLFPVC</v>
      </c>
      <c r="E52" t="str">
        <f t="shared" si="3"/>
        <v>REG</v>
      </c>
      <c r="G52" t="s">
        <v>579</v>
      </c>
      <c r="H52" t="str">
        <f t="shared" si="4"/>
        <v>SLFPVC</v>
      </c>
      <c r="I52" t="str">
        <f t="shared" si="5"/>
        <v/>
      </c>
      <c r="J52" t="str">
        <f t="shared" si="6"/>
        <v>SLFPVC</v>
      </c>
      <c r="K52" t="str">
        <f t="shared" si="7"/>
        <v/>
      </c>
      <c r="M52" t="s">
        <v>508</v>
      </c>
      <c r="N52" t="str">
        <f t="shared" si="8"/>
        <v>SLFPVC</v>
      </c>
      <c r="O52" t="str">
        <f t="shared" si="9"/>
        <v>REG</v>
      </c>
      <c r="P52" t="str">
        <f t="shared" si="10"/>
        <v>SLFPVC</v>
      </c>
      <c r="Q52" t="str">
        <f t="shared" si="11"/>
        <v>REG</v>
      </c>
    </row>
    <row r="53" spans="1:17">
      <c r="A53" t="s">
        <v>509</v>
      </c>
      <c r="B53" t="str">
        <f t="shared" si="0"/>
        <v>SLFREF</v>
      </c>
      <c r="C53" t="str">
        <f t="shared" si="1"/>
        <v>ORG</v>
      </c>
      <c r="D53" t="str">
        <f t="shared" si="2"/>
        <v>SLFREF</v>
      </c>
      <c r="E53" t="str">
        <f t="shared" si="3"/>
        <v>ORG</v>
      </c>
      <c r="G53" t="s">
        <v>580</v>
      </c>
      <c r="H53" t="str">
        <f t="shared" si="4"/>
        <v>SLFREF</v>
      </c>
      <c r="I53" t="str">
        <f t="shared" si="5"/>
        <v/>
      </c>
      <c r="J53" t="str">
        <f t="shared" si="6"/>
        <v>SLFREF</v>
      </c>
      <c r="K53" t="str">
        <f t="shared" si="7"/>
        <v/>
      </c>
      <c r="M53" t="s">
        <v>509</v>
      </c>
      <c r="N53" t="str">
        <f t="shared" si="8"/>
        <v>SLFREF</v>
      </c>
      <c r="O53" t="str">
        <f t="shared" si="9"/>
        <v>ORG</v>
      </c>
      <c r="P53" t="str">
        <f t="shared" si="10"/>
        <v>SLFREF</v>
      </c>
      <c r="Q53" t="str">
        <f t="shared" si="11"/>
        <v>ORG</v>
      </c>
    </row>
    <row r="54" spans="1:17">
      <c r="A54" t="s">
        <v>607</v>
      </c>
      <c r="B54" t="str">
        <f t="shared" si="0"/>
        <v>SLFORT</v>
      </c>
      <c r="C54" t="str">
        <f t="shared" si="1"/>
        <v>000000083</v>
      </c>
      <c r="D54" t="str">
        <f t="shared" si="2"/>
        <v>SLFORT</v>
      </c>
      <c r="E54" t="str">
        <f t="shared" si="3"/>
        <v>000000083</v>
      </c>
      <c r="G54" t="s">
        <v>581</v>
      </c>
      <c r="H54" t="str">
        <f t="shared" si="4"/>
        <v>SLFORT</v>
      </c>
      <c r="I54" t="str">
        <f t="shared" si="5"/>
        <v>000000000</v>
      </c>
      <c r="J54" t="str">
        <f t="shared" si="6"/>
        <v>SLFORT</v>
      </c>
      <c r="K54" t="str">
        <f t="shared" si="7"/>
        <v>000000000</v>
      </c>
      <c r="M54" t="s">
        <v>613</v>
      </c>
      <c r="N54" t="str">
        <f t="shared" si="8"/>
        <v>SLFORT</v>
      </c>
      <c r="O54" t="str">
        <f t="shared" si="9"/>
        <v>000013900</v>
      </c>
      <c r="P54" t="str">
        <f t="shared" si="10"/>
        <v>SLFORT</v>
      </c>
      <c r="Q54" t="str">
        <f t="shared" si="11"/>
        <v>000013900</v>
      </c>
    </row>
    <row r="55" spans="1:17">
      <c r="A55" t="s">
        <v>512</v>
      </c>
      <c r="B55" t="str">
        <f t="shared" si="0"/>
        <v>SLFOPN</v>
      </c>
      <c r="C55" t="str">
        <f t="shared" si="1"/>
        <v/>
      </c>
      <c r="D55" t="str">
        <f t="shared" si="2"/>
        <v>SLFOPN</v>
      </c>
      <c r="E55" t="str">
        <f t="shared" si="3"/>
        <v/>
      </c>
      <c r="G55" t="s">
        <v>512</v>
      </c>
      <c r="H55" t="str">
        <f t="shared" si="4"/>
        <v>SLFOPN</v>
      </c>
      <c r="I55" t="str">
        <f t="shared" si="5"/>
        <v/>
      </c>
      <c r="J55" t="str">
        <f t="shared" si="6"/>
        <v>SLFOPN</v>
      </c>
      <c r="K55" t="str">
        <f t="shared" si="7"/>
        <v/>
      </c>
      <c r="M55" t="s">
        <v>512</v>
      </c>
      <c r="N55" t="str">
        <f t="shared" si="8"/>
        <v>SLFOPN</v>
      </c>
      <c r="O55" t="str">
        <f t="shared" si="9"/>
        <v/>
      </c>
      <c r="P55" t="str">
        <f t="shared" si="10"/>
        <v>SLFOPN</v>
      </c>
      <c r="Q55" t="str">
        <f t="shared" si="11"/>
        <v/>
      </c>
    </row>
    <row r="56" spans="1:17">
      <c r="A56" t="s">
        <v>513</v>
      </c>
      <c r="B56" t="str">
        <f t="shared" si="0"/>
        <v>SLFOTS</v>
      </c>
      <c r="C56" t="str">
        <f t="shared" si="1"/>
        <v>00000</v>
      </c>
      <c r="D56" t="str">
        <f t="shared" si="2"/>
        <v>SLFOTS</v>
      </c>
      <c r="E56" t="str">
        <f t="shared" si="3"/>
        <v>00000</v>
      </c>
      <c r="G56" t="s">
        <v>513</v>
      </c>
      <c r="H56" t="str">
        <f t="shared" si="4"/>
        <v>SLFOTS</v>
      </c>
      <c r="I56" t="str">
        <f t="shared" si="5"/>
        <v>00000</v>
      </c>
      <c r="J56" t="str">
        <f t="shared" si="6"/>
        <v>SLFOTS</v>
      </c>
      <c r="K56" t="str">
        <f t="shared" si="7"/>
        <v>00000</v>
      </c>
      <c r="M56" t="s">
        <v>513</v>
      </c>
      <c r="N56" t="str">
        <f t="shared" si="8"/>
        <v>SLFOTS</v>
      </c>
      <c r="O56" t="str">
        <f t="shared" si="9"/>
        <v>00000</v>
      </c>
      <c r="P56" t="str">
        <f t="shared" si="10"/>
        <v>SLFOTS</v>
      </c>
      <c r="Q56" t="str">
        <f t="shared" si="11"/>
        <v>00000</v>
      </c>
    </row>
    <row r="57" spans="1:17">
      <c r="A57" t="s">
        <v>514</v>
      </c>
      <c r="B57" t="str">
        <f t="shared" si="0"/>
        <v>SLFOTD</v>
      </c>
      <c r="C57" t="str">
        <f t="shared" si="1"/>
        <v>000000</v>
      </c>
      <c r="D57" t="str">
        <f t="shared" si="2"/>
        <v>SLFOTD</v>
      </c>
      <c r="E57" t="str">
        <f t="shared" si="3"/>
        <v>000000</v>
      </c>
      <c r="G57" t="s">
        <v>514</v>
      </c>
      <c r="H57" t="str">
        <f t="shared" si="4"/>
        <v>SLFOTD</v>
      </c>
      <c r="I57" t="str">
        <f t="shared" si="5"/>
        <v>000000</v>
      </c>
      <c r="J57" t="str">
        <f t="shared" si="6"/>
        <v>SLFOTD</v>
      </c>
      <c r="K57" t="str">
        <f t="shared" si="7"/>
        <v>000000</v>
      </c>
      <c r="M57" t="s">
        <v>514</v>
      </c>
      <c r="N57" t="str">
        <f t="shared" si="8"/>
        <v>SLFOTD</v>
      </c>
      <c r="O57" t="str">
        <f t="shared" si="9"/>
        <v>000000</v>
      </c>
      <c r="P57" t="str">
        <f t="shared" si="10"/>
        <v>SLFOTD</v>
      </c>
      <c r="Q57" t="str">
        <f t="shared" si="11"/>
        <v>000000</v>
      </c>
    </row>
    <row r="58" spans="1:17">
      <c r="A58" t="s">
        <v>515</v>
      </c>
      <c r="B58" t="str">
        <f t="shared" si="0"/>
        <v>SLFOTR</v>
      </c>
      <c r="C58" t="str">
        <f t="shared" si="1"/>
        <v>000</v>
      </c>
      <c r="D58" t="str">
        <f t="shared" si="2"/>
        <v>SLFOTR</v>
      </c>
      <c r="E58" t="str">
        <f t="shared" si="3"/>
        <v>000</v>
      </c>
      <c r="G58" t="s">
        <v>515</v>
      </c>
      <c r="H58" t="str">
        <f t="shared" si="4"/>
        <v>SLFOTR</v>
      </c>
      <c r="I58" t="str">
        <f t="shared" si="5"/>
        <v>000</v>
      </c>
      <c r="J58" t="str">
        <f t="shared" si="6"/>
        <v>SLFOTR</v>
      </c>
      <c r="K58" t="str">
        <f t="shared" si="7"/>
        <v>000</v>
      </c>
      <c r="M58" t="s">
        <v>515</v>
      </c>
      <c r="N58" t="str">
        <f t="shared" si="8"/>
        <v>SLFOTR</v>
      </c>
      <c r="O58" t="str">
        <f t="shared" si="9"/>
        <v>000</v>
      </c>
      <c r="P58" t="str">
        <f t="shared" si="10"/>
        <v>SLFOTR</v>
      </c>
      <c r="Q58" t="str">
        <f t="shared" si="11"/>
        <v>000</v>
      </c>
    </row>
    <row r="59" spans="1:17">
      <c r="A59" t="s">
        <v>516</v>
      </c>
      <c r="B59" t="str">
        <f t="shared" si="0"/>
        <v>SLFOTT</v>
      </c>
      <c r="C59" t="str">
        <f t="shared" si="1"/>
        <v>00000</v>
      </c>
      <c r="D59" t="str">
        <f t="shared" si="2"/>
        <v>SLFOTT</v>
      </c>
      <c r="E59" t="str">
        <f t="shared" si="3"/>
        <v>00000</v>
      </c>
      <c r="G59" t="s">
        <v>516</v>
      </c>
      <c r="H59" t="str">
        <f t="shared" si="4"/>
        <v>SLFOTT</v>
      </c>
      <c r="I59" t="str">
        <f t="shared" si="5"/>
        <v>00000</v>
      </c>
      <c r="J59" t="str">
        <f t="shared" si="6"/>
        <v>SLFOTT</v>
      </c>
      <c r="K59" t="str">
        <f t="shared" si="7"/>
        <v>00000</v>
      </c>
      <c r="M59" t="s">
        <v>516</v>
      </c>
      <c r="N59" t="str">
        <f t="shared" si="8"/>
        <v>SLFOTT</v>
      </c>
      <c r="O59" t="str">
        <f t="shared" si="9"/>
        <v>00000</v>
      </c>
      <c r="P59" t="str">
        <f t="shared" si="10"/>
        <v>SLFOTT</v>
      </c>
      <c r="Q59" t="str">
        <f t="shared" si="11"/>
        <v>00000</v>
      </c>
    </row>
    <row r="60" spans="1:17">
      <c r="A60" t="s">
        <v>517</v>
      </c>
      <c r="B60" t="str">
        <f t="shared" si="0"/>
        <v>SLFPLC</v>
      </c>
      <c r="C60" t="str">
        <f t="shared" si="1"/>
        <v>55010</v>
      </c>
      <c r="D60" t="str">
        <f t="shared" si="2"/>
        <v>SLFPLC</v>
      </c>
      <c r="E60" t="str">
        <f t="shared" si="3"/>
        <v>55010</v>
      </c>
      <c r="G60" t="s">
        <v>517</v>
      </c>
      <c r="H60" t="str">
        <f t="shared" si="4"/>
        <v>SLFPLC</v>
      </c>
      <c r="I60" t="str">
        <f t="shared" si="5"/>
        <v>55010</v>
      </c>
      <c r="J60" t="str">
        <f t="shared" si="6"/>
        <v>SLFPLC</v>
      </c>
      <c r="K60" t="str">
        <f t="shared" si="7"/>
        <v>55010</v>
      </c>
      <c r="M60" t="s">
        <v>517</v>
      </c>
      <c r="N60" t="str">
        <f t="shared" si="8"/>
        <v>SLFPLC</v>
      </c>
      <c r="O60" t="str">
        <f t="shared" si="9"/>
        <v>55010</v>
      </c>
      <c r="P60" t="str">
        <f t="shared" si="10"/>
        <v>SLFPLC</v>
      </c>
      <c r="Q60" t="str">
        <f t="shared" si="11"/>
        <v>55010</v>
      </c>
    </row>
    <row r="61" spans="1:17">
      <c r="A61" t="s">
        <v>518</v>
      </c>
      <c r="B61" t="str">
        <f t="shared" si="0"/>
        <v>SLFPCN</v>
      </c>
      <c r="C61" t="str">
        <f t="shared" si="1"/>
        <v>1</v>
      </c>
      <c r="D61" t="str">
        <f t="shared" si="2"/>
        <v>SLFPCN</v>
      </c>
      <c r="E61" t="str">
        <f t="shared" si="3"/>
        <v>1</v>
      </c>
      <c r="G61" t="s">
        <v>518</v>
      </c>
      <c r="H61" t="str">
        <f t="shared" si="4"/>
        <v>SLFPCN</v>
      </c>
      <c r="I61" t="str">
        <f t="shared" si="5"/>
        <v>1</v>
      </c>
      <c r="J61" t="str">
        <f t="shared" si="6"/>
        <v>SLFPCN</v>
      </c>
      <c r="K61" t="str">
        <f t="shared" si="7"/>
        <v>1</v>
      </c>
      <c r="M61" t="s">
        <v>518</v>
      </c>
      <c r="N61" t="str">
        <f t="shared" si="8"/>
        <v>SLFPCN</v>
      </c>
      <c r="O61" t="str">
        <f t="shared" si="9"/>
        <v>1</v>
      </c>
      <c r="P61" t="str">
        <f t="shared" si="10"/>
        <v>SLFPCN</v>
      </c>
      <c r="Q61" t="str">
        <f t="shared" si="11"/>
        <v>1</v>
      </c>
    </row>
    <row r="62" spans="1:17">
      <c r="A62" t="s">
        <v>597</v>
      </c>
      <c r="B62" t="str">
        <f t="shared" si="0"/>
        <v>SLFPDT</v>
      </c>
      <c r="C62" t="str">
        <f t="shared" si="1"/>
        <v>260128</v>
      </c>
      <c r="D62" t="str">
        <f t="shared" si="2"/>
        <v>SLFPDT</v>
      </c>
      <c r="E62" t="str">
        <f t="shared" si="3"/>
        <v>260128</v>
      </c>
      <c r="G62" t="s">
        <v>597</v>
      </c>
      <c r="H62" t="str">
        <f t="shared" si="4"/>
        <v>SLFPDT</v>
      </c>
      <c r="I62" t="str">
        <f t="shared" si="5"/>
        <v>260128</v>
      </c>
      <c r="J62" t="str">
        <f t="shared" si="6"/>
        <v>SLFPDT</v>
      </c>
      <c r="K62" t="str">
        <f t="shared" si="7"/>
        <v>260128</v>
      </c>
      <c r="M62" t="s">
        <v>597</v>
      </c>
      <c r="N62" t="str">
        <f t="shared" si="8"/>
        <v>SLFPDT</v>
      </c>
      <c r="O62" t="str">
        <f t="shared" si="9"/>
        <v>260128</v>
      </c>
      <c r="P62" t="str">
        <f t="shared" si="10"/>
        <v>SLFPDT</v>
      </c>
      <c r="Q62" t="str">
        <f t="shared" si="11"/>
        <v>260128</v>
      </c>
    </row>
    <row r="63" spans="1:17">
      <c r="A63" t="s">
        <v>520</v>
      </c>
      <c r="B63" t="str">
        <f t="shared" si="0"/>
        <v>SLFCCN</v>
      </c>
      <c r="C63" t="str">
        <f t="shared" si="1"/>
        <v>1</v>
      </c>
      <c r="D63" t="str">
        <f t="shared" si="2"/>
        <v>SLFCCN</v>
      </c>
      <c r="E63" t="str">
        <f t="shared" si="3"/>
        <v>1</v>
      </c>
      <c r="G63" t="s">
        <v>520</v>
      </c>
      <c r="H63" t="str">
        <f t="shared" si="4"/>
        <v>SLFCCN</v>
      </c>
      <c r="I63" t="str">
        <f t="shared" si="5"/>
        <v>1</v>
      </c>
      <c r="J63" t="str">
        <f t="shared" si="6"/>
        <v>SLFCCN</v>
      </c>
      <c r="K63" t="str">
        <f t="shared" si="7"/>
        <v>1</v>
      </c>
      <c r="M63" t="s">
        <v>520</v>
      </c>
      <c r="N63" t="str">
        <f t="shared" si="8"/>
        <v>SLFCCN</v>
      </c>
      <c r="O63" t="str">
        <f t="shared" si="9"/>
        <v>1</v>
      </c>
      <c r="P63" t="str">
        <f t="shared" si="10"/>
        <v>SLFCCN</v>
      </c>
      <c r="Q63" t="str">
        <f t="shared" si="11"/>
        <v>1</v>
      </c>
    </row>
    <row r="64" spans="1:17">
      <c r="A64" t="s">
        <v>598</v>
      </c>
      <c r="B64" t="str">
        <f t="shared" si="0"/>
        <v>SLFCDT</v>
      </c>
      <c r="C64" t="str">
        <f t="shared" si="1"/>
        <v>260128</v>
      </c>
      <c r="D64" t="str">
        <f t="shared" si="2"/>
        <v>SLFCDT</v>
      </c>
      <c r="E64" t="str">
        <f t="shared" si="3"/>
        <v>260128</v>
      </c>
      <c r="G64" t="s">
        <v>598</v>
      </c>
      <c r="H64" t="str">
        <f t="shared" si="4"/>
        <v>SLFCDT</v>
      </c>
      <c r="I64" t="str">
        <f t="shared" si="5"/>
        <v>260128</v>
      </c>
      <c r="J64" t="str">
        <f t="shared" si="6"/>
        <v>SLFCDT</v>
      </c>
      <c r="K64" t="str">
        <f t="shared" si="7"/>
        <v>260128</v>
      </c>
      <c r="M64" t="s">
        <v>598</v>
      </c>
      <c r="N64" t="str">
        <f t="shared" si="8"/>
        <v>SLFCDT</v>
      </c>
      <c r="O64" t="str">
        <f t="shared" si="9"/>
        <v>260128</v>
      </c>
      <c r="P64" t="str">
        <f t="shared" si="10"/>
        <v>SLFCDT</v>
      </c>
      <c r="Q64" t="str">
        <f t="shared" si="11"/>
        <v>260128</v>
      </c>
    </row>
    <row r="65" spans="1:17">
      <c r="A65" t="s">
        <v>608</v>
      </c>
      <c r="B65" t="str">
        <f t="shared" si="0"/>
        <v>SLFCTM</v>
      </c>
      <c r="C65" t="str">
        <f t="shared" si="1"/>
        <v>144416</v>
      </c>
      <c r="D65" t="str">
        <f t="shared" si="2"/>
        <v>SLFCTM</v>
      </c>
      <c r="E65" t="str">
        <f t="shared" si="3"/>
        <v>144416</v>
      </c>
      <c r="G65" t="s">
        <v>608</v>
      </c>
      <c r="H65" t="str">
        <f t="shared" si="4"/>
        <v>SLFCTM</v>
      </c>
      <c r="I65" t="str">
        <f t="shared" si="5"/>
        <v>144416</v>
      </c>
      <c r="J65" t="str">
        <f t="shared" si="6"/>
        <v>SLFCTM</v>
      </c>
      <c r="K65" t="str">
        <f t="shared" si="7"/>
        <v>144416</v>
      </c>
      <c r="M65" t="s">
        <v>608</v>
      </c>
      <c r="N65" t="str">
        <f t="shared" si="8"/>
        <v>SLFCTM</v>
      </c>
      <c r="O65" t="str">
        <f t="shared" si="9"/>
        <v>144416</v>
      </c>
      <c r="P65" t="str">
        <f t="shared" si="10"/>
        <v>SLFCTM</v>
      </c>
      <c r="Q65" t="str">
        <f t="shared" si="11"/>
        <v>144416</v>
      </c>
    </row>
    <row r="66" spans="1:17">
      <c r="A66" t="s">
        <v>523</v>
      </c>
      <c r="B66" t="str">
        <f t="shared" si="0"/>
        <v>SLFORD</v>
      </c>
      <c r="C66" t="str">
        <f t="shared" si="1"/>
        <v/>
      </c>
      <c r="D66" t="str">
        <f t="shared" si="2"/>
        <v>SLFORD</v>
      </c>
      <c r="E66" t="str">
        <f t="shared" si="3"/>
        <v/>
      </c>
      <c r="G66" t="s">
        <v>523</v>
      </c>
      <c r="H66" t="str">
        <f t="shared" si="4"/>
        <v>SLFORD</v>
      </c>
      <c r="I66" t="str">
        <f t="shared" si="5"/>
        <v/>
      </c>
      <c r="J66" t="str">
        <f t="shared" si="6"/>
        <v>SLFORD</v>
      </c>
      <c r="K66" t="str">
        <f t="shared" si="7"/>
        <v/>
      </c>
      <c r="M66" t="s">
        <v>523</v>
      </c>
      <c r="N66" t="str">
        <f t="shared" si="8"/>
        <v>SLFORD</v>
      </c>
      <c r="O66" t="str">
        <f t="shared" si="9"/>
        <v/>
      </c>
      <c r="P66" t="str">
        <f t="shared" si="10"/>
        <v>SLFORD</v>
      </c>
      <c r="Q66" t="str">
        <f t="shared" si="11"/>
        <v/>
      </c>
    </row>
    <row r="67" spans="1:17">
      <c r="A67" t="s">
        <v>524</v>
      </c>
      <c r="B67" t="str">
        <f t="shared" ref="B67:B71" si="16">TRIM(
  SUBSTITUTE(
    SUBSTITUTE(
      LEFT(A67, FIND(":", A67) - 1),
      """",
      ""
    ),
    ",",
    ""
  )
)</f>
        <v>ASFPRO</v>
      </c>
      <c r="C67" t="str">
        <f t="shared" ref="C67:C71" si="17">TRIM(
  SUBSTITUTE(
    SUBSTITUTE(
      _xlfn.TEXTAFTER(A67, ":"),
      """",
      ""
    ),
    ",",
    ""
  )
)</f>
        <v/>
      </c>
      <c r="D67" t="str">
        <f t="shared" ref="D67:D71" si="18">B67</f>
        <v>ASFPRO</v>
      </c>
      <c r="E67" t="str">
        <f t="shared" ref="E67:E71" si="19">C67</f>
        <v/>
      </c>
      <c r="G67" t="s">
        <v>524</v>
      </c>
      <c r="H67" t="str">
        <f t="shared" ref="H67:H70" si="20">TRIM(
  SUBSTITUTE(
    SUBSTITUTE(
      LEFT(G67, FIND(":", G67) - 1),
      """",
      ""
    ),
    ",",
    ""
  )
)</f>
        <v>ASFPRO</v>
      </c>
      <c r="I67" t="str">
        <f t="shared" ref="I67:I70" si="21">TRIM(
  SUBSTITUTE(
    SUBSTITUTE(
      _xlfn.TEXTAFTER(G67, ":"),
      """",
      ""
    ),
    ",",
    ""
  )
)</f>
        <v/>
      </c>
      <c r="J67" t="str">
        <f t="shared" ref="J67:J70" si="22">H67</f>
        <v>ASFPRO</v>
      </c>
      <c r="K67" t="str">
        <f t="shared" ref="K67:K70" si="23">I67</f>
        <v/>
      </c>
      <c r="M67" t="s">
        <v>524</v>
      </c>
      <c r="N67" t="str">
        <f t="shared" ref="N67:N71" si="24">TRIM(
  SUBSTITUTE(
    SUBSTITUTE(
      LEFT(M67, FIND(":", M67) - 1),
      """",
      ""
    ),
    ",",
    ""
  )
)</f>
        <v>ASFPRO</v>
      </c>
      <c r="O67" t="str">
        <f t="shared" ref="O67:O71" si="25">TRIM(
  SUBSTITUTE(
    SUBSTITUTE(
      _xlfn.TEXTAFTER(M67, ":"),
      """",
      ""
    ),
    ",",
    ""
  )
)</f>
        <v/>
      </c>
      <c r="P67" t="str">
        <f t="shared" ref="P67:Q71" si="26">N67</f>
        <v>ASFPRO</v>
      </c>
      <c r="Q67" t="str">
        <f t="shared" si="26"/>
        <v/>
      </c>
    </row>
    <row r="68" spans="1:17">
      <c r="A68" t="s">
        <v>525</v>
      </c>
      <c r="B68" t="str">
        <f t="shared" si="16"/>
        <v>ASFSST</v>
      </c>
      <c r="C68" t="str">
        <f t="shared" si="17"/>
        <v>0</v>
      </c>
      <c r="D68" t="str">
        <f t="shared" si="18"/>
        <v>ASFSST</v>
      </c>
      <c r="E68" t="str">
        <f t="shared" si="19"/>
        <v>0</v>
      </c>
      <c r="G68" t="s">
        <v>525</v>
      </c>
      <c r="H68" t="str">
        <f t="shared" si="20"/>
        <v>ASFSST</v>
      </c>
      <c r="I68" t="str">
        <f t="shared" si="21"/>
        <v>0</v>
      </c>
      <c r="J68" t="str">
        <f t="shared" si="22"/>
        <v>ASFSST</v>
      </c>
      <c r="K68" t="str">
        <f t="shared" si="23"/>
        <v>0</v>
      </c>
      <c r="M68" t="s">
        <v>525</v>
      </c>
      <c r="N68" t="str">
        <f t="shared" si="24"/>
        <v>ASFSST</v>
      </c>
      <c r="O68" t="str">
        <f t="shared" si="25"/>
        <v>0</v>
      </c>
      <c r="P68" t="str">
        <f t="shared" si="26"/>
        <v>ASFSST</v>
      </c>
      <c r="Q68" t="str">
        <f t="shared" si="26"/>
        <v>0</v>
      </c>
    </row>
    <row r="69" spans="1:17">
      <c r="A69" t="s">
        <v>526</v>
      </c>
      <c r="B69" t="str">
        <f t="shared" si="16"/>
        <v>ASFIST</v>
      </c>
      <c r="C69" t="str">
        <f t="shared" si="17"/>
        <v>0</v>
      </c>
      <c r="D69" t="str">
        <f t="shared" si="18"/>
        <v>ASFIST</v>
      </c>
      <c r="E69" t="str">
        <f t="shared" si="19"/>
        <v>0</v>
      </c>
      <c r="G69" t="s">
        <v>526</v>
      </c>
      <c r="H69" t="str">
        <f t="shared" si="20"/>
        <v>ASFIST</v>
      </c>
      <c r="I69" t="str">
        <f t="shared" si="21"/>
        <v>0</v>
      </c>
      <c r="J69" t="str">
        <f t="shared" si="22"/>
        <v>ASFIST</v>
      </c>
      <c r="K69" t="str">
        <f t="shared" si="23"/>
        <v>0</v>
      </c>
      <c r="M69" t="s">
        <v>526</v>
      </c>
      <c r="N69" t="str">
        <f t="shared" si="24"/>
        <v>ASFIST</v>
      </c>
      <c r="O69" t="str">
        <f t="shared" si="25"/>
        <v>0</v>
      </c>
      <c r="P69" t="str">
        <f t="shared" si="26"/>
        <v>ASFIST</v>
      </c>
      <c r="Q69" t="str">
        <f t="shared" si="26"/>
        <v>0</v>
      </c>
    </row>
    <row r="70" spans="1:17">
      <c r="A70" t="s">
        <v>527</v>
      </c>
      <c r="B70" t="str">
        <f t="shared" si="16"/>
        <v>SLFEML</v>
      </c>
      <c r="C70" t="str">
        <f t="shared" si="17"/>
        <v/>
      </c>
      <c r="D70" t="str">
        <f t="shared" si="18"/>
        <v>SLFEML</v>
      </c>
      <c r="E70" t="str">
        <f t="shared" si="19"/>
        <v/>
      </c>
      <c r="G70" t="s">
        <v>527</v>
      </c>
      <c r="H70" t="str">
        <f t="shared" si="20"/>
        <v>SLFEML</v>
      </c>
      <c r="I70" t="str">
        <f t="shared" si="21"/>
        <v/>
      </c>
      <c r="J70" t="str">
        <f t="shared" si="22"/>
        <v>SLFEML</v>
      </c>
      <c r="K70" t="str">
        <f t="shared" si="23"/>
        <v/>
      </c>
      <c r="M70" t="s">
        <v>527</v>
      </c>
      <c r="N70" t="str">
        <f t="shared" si="24"/>
        <v>SLFEML</v>
      </c>
      <c r="O70" t="str">
        <f t="shared" si="25"/>
        <v/>
      </c>
      <c r="P70" t="str">
        <f t="shared" si="26"/>
        <v>SLFEML</v>
      </c>
      <c r="Q70" t="str">
        <f t="shared" si="26"/>
        <v/>
      </c>
    </row>
    <row r="71" spans="1:17">
      <c r="A71" t="s">
        <v>528</v>
      </c>
      <c r="B71" t="str">
        <f t="shared" si="16"/>
        <v>SLFECN</v>
      </c>
      <c r="C71" t="str">
        <f t="shared" si="17"/>
        <v>0</v>
      </c>
      <c r="D71" t="str">
        <f t="shared" si="18"/>
        <v>SLFECN</v>
      </c>
      <c r="E71" t="str">
        <f t="shared" si="19"/>
        <v>0</v>
      </c>
      <c r="G71" t="s">
        <v>528</v>
      </c>
      <c r="M71" t="s">
        <v>528</v>
      </c>
      <c r="N71" t="str">
        <f t="shared" si="24"/>
        <v>SLFECN</v>
      </c>
      <c r="O71" t="str">
        <f t="shared" si="25"/>
        <v>0</v>
      </c>
      <c r="P71" t="str">
        <f t="shared" si="26"/>
        <v>SLFECN</v>
      </c>
      <c r="Q71" t="str">
        <f t="shared" si="26"/>
        <v>0</v>
      </c>
    </row>
    <row r="72" spans="1:17">
      <c r="M72" t="s">
        <v>616</v>
      </c>
    </row>
  </sheetData>
  <mergeCells count="4">
    <mergeCell ref="A1:E1"/>
    <mergeCell ref="G1:K1"/>
    <mergeCell ref="M1:Q1"/>
    <mergeCell ref="S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Mapping</vt:lpstr>
      <vt:lpstr>J26_0539-S</vt:lpstr>
      <vt:lpstr>J26_0539-T</vt:lpstr>
      <vt:lpstr>T-00531</vt:lpstr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Jitesh Kumar</cp:lastModifiedBy>
  <cp:revision/>
  <dcterms:created xsi:type="dcterms:W3CDTF">2026-01-20T19:48:52Z</dcterms:created>
  <dcterms:modified xsi:type="dcterms:W3CDTF">2026-01-29T04:36:55Z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c73e68-af3a-498f-ac16-681304184053_Enabled">
    <vt:lpwstr>true</vt:lpwstr>
  </property>
  <property fmtid="{D5CDD505-2E9C-101B-9397-08002B2CF9AE}" pid="3" name="MSIP_Label_36c73e68-af3a-498f-ac16-681304184053_SetDate">
    <vt:lpwstr>2026-01-20T19:49:00Z</vt:lpwstr>
  </property>
  <property fmtid="{D5CDD505-2E9C-101B-9397-08002B2CF9AE}" pid="4" name="MSIP_Label_36c73e68-af3a-498f-ac16-681304184053_Method">
    <vt:lpwstr>Standard</vt:lpwstr>
  </property>
  <property fmtid="{D5CDD505-2E9C-101B-9397-08002B2CF9AE}" pid="5" name="MSIP_Label_36c73e68-af3a-498f-ac16-681304184053_Name">
    <vt:lpwstr>36c73e68-af3a-498f-ac16-681304184053</vt:lpwstr>
  </property>
  <property fmtid="{D5CDD505-2E9C-101B-9397-08002B2CF9AE}" pid="6" name="MSIP_Label_36c73e68-af3a-498f-ac16-681304184053_SiteId">
    <vt:lpwstr>f0f705ff-3d3e-4c24-854c-6d0b20b2b10c</vt:lpwstr>
  </property>
  <property fmtid="{D5CDD505-2E9C-101B-9397-08002B2CF9AE}" pid="7" name="MSIP_Label_36c73e68-af3a-498f-ac16-681304184053_ActionId">
    <vt:lpwstr>94818c25-dbeb-431b-91bc-8cba4ac2247d</vt:lpwstr>
  </property>
  <property fmtid="{D5CDD505-2E9C-101B-9397-08002B2CF9AE}" pid="8" name="MSIP_Label_36c73e68-af3a-498f-ac16-681304184053_ContentBits">
    <vt:lpwstr>0</vt:lpwstr>
  </property>
  <property fmtid="{D5CDD505-2E9C-101B-9397-08002B2CF9AE}" pid="9" name="MSIP_Label_36c73e68-af3a-498f-ac16-681304184053_Tag">
    <vt:lpwstr>10, 3, 0, 2</vt:lpwstr>
  </property>
</Properties>
</file>